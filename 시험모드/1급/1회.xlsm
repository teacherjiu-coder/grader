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Default Extension="emf" ContentType="image/x-emf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1152" yWindow="1152" windowWidth="22572" windowHeight="13116" tabRatio="881" firstSheet="4" activeTab="5" autoFilterDateGrouping="1"/>
  </bookViews>
  <sheets>
    <sheet xmlns:r="http://schemas.openxmlformats.org/officeDocument/2006/relationships" name="기본작업-1" sheetId="1" state="visible" r:id="rId1"/>
    <sheet xmlns:r="http://schemas.openxmlformats.org/officeDocument/2006/relationships" name="기본작업-2" sheetId="2" state="visible" r:id="rId2"/>
    <sheet xmlns:r="http://schemas.openxmlformats.org/officeDocument/2006/relationships" name="계산작업" sheetId="3" state="visible" r:id="rId3"/>
    <sheet xmlns:r="http://schemas.openxmlformats.org/officeDocument/2006/relationships" name="분석작업-1" sheetId="4" state="visible" r:id="rId4"/>
    <sheet xmlns:r="http://schemas.openxmlformats.org/officeDocument/2006/relationships" name="분석작업-2" sheetId="5" state="visible" r:id="rId5"/>
    <sheet xmlns:r="http://schemas.openxmlformats.org/officeDocument/2006/relationships" name="기타작업-1" sheetId="6" state="visible" r:id="rId6"/>
    <sheet xmlns:r="http://schemas.openxmlformats.org/officeDocument/2006/relationships" name="기타작업-2" sheetId="7" state="visible" r:id="rId7"/>
    <sheet xmlns:r="http://schemas.openxmlformats.org/officeDocument/2006/relationships" name="기타작업-3" sheetId="8" state="visible" r:id="rId8"/>
  </sheets>
  <definedNames/>
  <calcPr calcId="191029" fullCalcOnLoad="1"/>
</workbook>
</file>

<file path=xl/styles.xml><?xml version="1.0" encoding="utf-8"?>
<styleSheet xmlns="http://schemas.openxmlformats.org/spreadsheetml/2006/main">
  <numFmts count="11">
    <numFmt numFmtId="164" formatCode="0&quot;년이상&quot;"/>
    <numFmt numFmtId="165" formatCode="0&quot;년미만&quot;"/>
    <numFmt numFmtId="166" formatCode="&quot;₩&quot;#,##0"/>
    <numFmt numFmtId="167" formatCode="#,##0_ "/>
    <numFmt numFmtId="168" formatCode="#&quot; 이상&quot;"/>
    <numFmt numFmtId="169" formatCode="#&quot; 이하&quot;"/>
    <numFmt numFmtId="170" formatCode="_-* #,##0_-;\-* #,##0_-;_-* &quot;-&quot;_-;_-@_-"/>
    <numFmt numFmtId="171" formatCode="0_);[Red]\(0\)"/>
    <numFmt numFmtId="172" formatCode="_-&quot;₩&quot;* #,##0_-;\-&quot;₩&quot;* #,##0_-;_-&quot;₩&quot;* &quot;-&quot;_-;_-@_-"/>
    <numFmt numFmtId="173" formatCode="[$-F800]dddd\,\ mmmm\ dd\,\ yyyy"/>
    <numFmt numFmtId="174" formatCode="[Blue][=1]0;[Red][=0]0;#,##0"/>
  </numFmts>
  <fonts count="9">
    <font>
      <name val="맑은 고딕"/>
      <charset val="129"/>
      <family val="2"/>
      <color theme="1"/>
      <sz val="12"/>
      <scheme val="minor"/>
    </font>
    <font>
      <name val="맑은 고딕"/>
      <charset val="129"/>
      <family val="2"/>
      <color theme="1"/>
      <sz val="12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rgb="FF000000"/>
      <sz val="11"/>
      <scheme val="minor"/>
    </font>
    <font>
      <name val="돋움"/>
      <charset val="129"/>
      <family val="3"/>
      <sz val="11"/>
    </font>
    <font>
      <name val="맑은 고딕"/>
      <charset val="129"/>
      <family val="3"/>
      <sz val="11"/>
      <scheme val="minor"/>
    </font>
    <font>
      <name val="Calibri"/>
      <family val="2"/>
      <color rgb="FF000000"/>
      <sz val="12"/>
    </font>
    <font>
      <name val="맑은 고딕"/>
      <charset val="129"/>
      <family val="3"/>
      <color rgb="FF000000"/>
      <sz val="12"/>
    </font>
  </fonts>
  <fills count="4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7">
    <xf numFmtId="0" fontId="1" fillId="0" borderId="0" applyAlignment="1">
      <alignment vertical="center"/>
    </xf>
    <xf numFmtId="41" fontId="1" fillId="0" borderId="0" applyAlignment="1">
      <alignment vertical="center"/>
    </xf>
    <xf numFmtId="42" fontId="1" fillId="0" borderId="0"/>
    <xf numFmtId="0" fontId="5" fillId="0" borderId="0" applyAlignment="1">
      <alignment vertical="center"/>
    </xf>
    <xf numFmtId="41" fontId="5" fillId="0" borderId="0" applyAlignment="1">
      <alignment vertical="center"/>
    </xf>
    <xf numFmtId="0" fontId="5" fillId="0" borderId="0"/>
    <xf numFmtId="9" fontId="1" fillId="0" borderId="0"/>
  </cellStyleXfs>
  <cellXfs count="89"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2" borderId="0" applyAlignment="1" pivotButton="0" quotePrefix="0" xfId="0">
      <alignment horizontal="left" vertical="center"/>
    </xf>
    <xf numFmtId="0" fontId="3" fillId="2" borderId="0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/>
    </xf>
    <xf numFmtId="41" fontId="3" fillId="2" borderId="1" applyAlignment="1" pivotButton="0" quotePrefix="0" xfId="1">
      <alignment horizontal="center" vertical="center"/>
    </xf>
    <xf numFmtId="0" fontId="4" fillId="2" borderId="3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 wrapText="1"/>
    </xf>
    <xf numFmtId="0" fontId="4" fillId="2" borderId="1" applyAlignment="1" pivotButton="0" quotePrefix="0" xfId="0">
      <alignment horizontal="center" vertical="center" wrapText="1"/>
    </xf>
    <xf numFmtId="0" fontId="0" fillId="2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0" fillId="2" borderId="1" applyAlignment="1" pivotButton="0" quotePrefix="0" xfId="0">
      <alignment horizontal="center" vertical="center"/>
    </xf>
    <xf numFmtId="41" fontId="3" fillId="3" borderId="1" applyAlignment="1" pivotButton="0" quotePrefix="0" xfId="1">
      <alignment horizontal="center" vertical="center"/>
    </xf>
    <xf numFmtId="0" fontId="0" fillId="3" borderId="1" applyAlignment="1" pivotButton="0" quotePrefix="0" xfId="0">
      <alignment horizontal="center" vertical="center"/>
    </xf>
    <xf numFmtId="0" fontId="0" fillId="2" borderId="0" applyAlignment="1" pivotButton="0" quotePrefix="0" xfId="0">
      <alignment horizontal="left" vertical="center"/>
    </xf>
    <xf numFmtId="164" fontId="4" fillId="2" borderId="1" applyAlignment="1" pivotButton="0" quotePrefix="0" xfId="0">
      <alignment horizontal="center" vertical="center" wrapText="1"/>
    </xf>
    <xf numFmtId="165" fontId="4" fillId="2" borderId="1" applyAlignment="1" pivotButton="0" quotePrefix="0" xfId="0">
      <alignment horizontal="center" vertical="center" wrapText="1"/>
    </xf>
    <xf numFmtId="0" fontId="0" fillId="2" borderId="6" applyAlignment="1" pivotButton="0" quotePrefix="0" xfId="0">
      <alignment vertical="center"/>
    </xf>
    <xf numFmtId="9" fontId="4" fillId="2" borderId="1" applyAlignment="1" pivotButton="0" quotePrefix="0" xfId="0">
      <alignment vertical="center" wrapText="1"/>
    </xf>
    <xf numFmtId="166" fontId="0" fillId="2" borderId="1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horizontal="center" vertical="center" wrapText="1"/>
    </xf>
    <xf numFmtId="168" fontId="0" fillId="2" borderId="1" applyAlignment="1" pivotButton="0" quotePrefix="0" xfId="0">
      <alignment horizontal="center" vertical="center"/>
    </xf>
    <xf numFmtId="169" fontId="0" fillId="2" borderId="1" applyAlignment="1" pivotButton="0" quotePrefix="0" xfId="0">
      <alignment horizontal="center" vertical="center"/>
    </xf>
    <xf numFmtId="0" fontId="6" fillId="3" borderId="1" applyAlignment="1" pivotButton="0" quotePrefix="0" xfId="3">
      <alignment horizontal="center" vertical="center"/>
    </xf>
    <xf numFmtId="170" fontId="6" fillId="3" borderId="1" applyAlignment="1" pivotButton="0" quotePrefix="0" xfId="4">
      <alignment horizontal="center" vertical="center"/>
    </xf>
    <xf numFmtId="0" fontId="6" fillId="0" borderId="1" applyAlignment="1" pivotButton="0" quotePrefix="0" xfId="3">
      <alignment horizontal="center" vertical="center"/>
    </xf>
    <xf numFmtId="171" fontId="6" fillId="0" borderId="1" applyAlignment="1" pivotButton="0" quotePrefix="0" xfId="4">
      <alignment horizontal="center" vertical="center"/>
    </xf>
    <xf numFmtId="172" fontId="6" fillId="0" borderId="1" applyAlignment="1" pivotButton="0" quotePrefix="0" xfId="2">
      <alignment horizontal="center" vertical="center"/>
    </xf>
    <xf numFmtId="173" fontId="6" fillId="0" borderId="1" applyAlignment="1" pivotButton="0" quotePrefix="0" xfId="3">
      <alignment horizontal="center" vertical="center"/>
    </xf>
    <xf numFmtId="170" fontId="6" fillId="0" borderId="1" applyAlignment="1" pivotButton="0" quotePrefix="0" xfId="3">
      <alignment horizontal="center" vertical="center"/>
    </xf>
    <xf numFmtId="0" fontId="0" fillId="0" borderId="1" applyAlignment="1" pivotButton="0" quotePrefix="0" xfId="0">
      <alignment vertical="center"/>
    </xf>
    <xf numFmtId="0" fontId="6" fillId="0" borderId="1" applyAlignment="1" applyProtection="1" pivotButton="0" quotePrefix="0" xfId="3">
      <alignment horizontal="center" vertical="center"/>
      <protection locked="1" hidden="1"/>
    </xf>
    <xf numFmtId="171" fontId="6" fillId="0" borderId="1" applyAlignment="1" applyProtection="1" pivotButton="0" quotePrefix="0" xfId="4">
      <alignment horizontal="center" vertical="center"/>
      <protection locked="1" hidden="1"/>
    </xf>
    <xf numFmtId="172" fontId="6" fillId="0" borderId="1" applyAlignment="1" applyProtection="1" pivotButton="0" quotePrefix="0" xfId="2">
      <alignment horizontal="center" vertical="center"/>
      <protection locked="1" hidden="1"/>
    </xf>
    <xf numFmtId="173" fontId="6" fillId="0" borderId="1" applyAlignment="1" applyProtection="1" pivotButton="0" quotePrefix="0" xfId="3">
      <alignment horizontal="center" vertical="center"/>
      <protection locked="1" hidden="1"/>
    </xf>
    <xf numFmtId="170" fontId="6" fillId="0" borderId="1" applyAlignment="1" applyProtection="1" pivotButton="0" quotePrefix="0" xfId="3">
      <alignment horizontal="center" vertical="center"/>
      <protection locked="1" hidden="1"/>
    </xf>
    <xf numFmtId="0" fontId="0" fillId="0" borderId="0" applyAlignment="1" pivotButton="1" quotePrefix="0" xfId="0">
      <alignment vertical="center"/>
    </xf>
    <xf numFmtId="14" fontId="0" fillId="0" borderId="0" applyAlignment="1" pivotButton="0" quotePrefix="0" xfId="0">
      <alignment vertical="center"/>
    </xf>
    <xf numFmtId="9" fontId="0" fillId="0" borderId="0" applyAlignment="1" pivotButton="0" quotePrefix="0" xfId="0">
      <alignment vertical="center"/>
    </xf>
    <xf numFmtId="3" fontId="0" fillId="0" borderId="0" applyAlignment="1" pivotButton="0" quotePrefix="0" xfId="0">
      <alignment vertical="center"/>
    </xf>
    <xf numFmtId="0" fontId="0" fillId="0" borderId="0" applyAlignment="1" pivotButton="1" quotePrefix="0" xfId="0">
      <alignment horizontal="center" vertical="center"/>
    </xf>
    <xf numFmtId="0" fontId="0" fillId="0" borderId="0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/>
    </xf>
    <xf numFmtId="41" fontId="0" fillId="0" borderId="1" applyAlignment="1" pivotButton="0" quotePrefix="0" xfId="1">
      <alignment vertical="center"/>
    </xf>
    <xf numFmtId="41" fontId="0" fillId="0" borderId="1" applyAlignment="1" pivotButton="0" quotePrefix="0" xfId="1">
      <alignment vertical="center"/>
    </xf>
    <xf numFmtId="14" fontId="0" fillId="3" borderId="1" applyAlignment="1" pivotButton="0" quotePrefix="0" xfId="0">
      <alignment horizontal="center" vertical="center"/>
    </xf>
    <xf numFmtId="14" fontId="0" fillId="0" borderId="1" applyAlignment="1" pivotButton="0" quotePrefix="0" xfId="0">
      <alignment horizontal="center" vertical="center"/>
    </xf>
    <xf numFmtId="9" fontId="0" fillId="3" borderId="1" applyAlignment="1" pivotButton="0" quotePrefix="0" xfId="0">
      <alignment horizontal="center" vertical="center"/>
    </xf>
    <xf numFmtId="9" fontId="0" fillId="0" borderId="1" applyAlignment="1" pivotButton="0" quotePrefix="0" xfId="0">
      <alignment horizontal="center" vertical="center"/>
    </xf>
    <xf numFmtId="3" fontId="0" fillId="3" borderId="1" applyAlignment="1" pivotButton="0" quotePrefix="0" xfId="0">
      <alignment horizontal="center" vertical="center"/>
    </xf>
    <xf numFmtId="3" fontId="0" fillId="0" borderId="1" applyAlignment="1" pivotButton="0" quotePrefix="0" xfId="0">
      <alignment horizontal="center" vertical="center"/>
    </xf>
    <xf numFmtId="174" fontId="0" fillId="0" borderId="1" applyAlignment="1" pivotButton="0" quotePrefix="0" xfId="0">
      <alignment horizontal="center" vertical="center"/>
    </xf>
    <xf numFmtId="0" fontId="0" fillId="0" borderId="8" applyAlignment="1" pivotButton="0" quotePrefix="0" xfId="0">
      <alignment horizontal="center" vertical="center"/>
    </xf>
    <xf numFmtId="0" fontId="0" fillId="0" borderId="9" applyAlignment="1" pivotButton="0" quotePrefix="0" xfId="0">
      <alignment horizontal="center" vertical="center"/>
    </xf>
    <xf numFmtId="0" fontId="0" fillId="0" borderId="10" applyAlignment="1" pivotButton="0" quotePrefix="0" xfId="0">
      <alignment horizontal="center" vertical="center"/>
    </xf>
    <xf numFmtId="0" fontId="0" fillId="0" borderId="11" applyAlignment="1" pivotButton="0" quotePrefix="0" xfId="0">
      <alignment horizontal="center" vertical="center"/>
    </xf>
    <xf numFmtId="0" fontId="0" fillId="0" borderId="2" applyAlignment="1" pivotButton="0" quotePrefix="0" xfId="0">
      <alignment horizontal="center" vertical="center"/>
    </xf>
    <xf numFmtId="9" fontId="0" fillId="0" borderId="12" applyAlignment="1" pivotButton="0" quotePrefix="0" xfId="6">
      <alignment vertical="center"/>
    </xf>
    <xf numFmtId="0" fontId="0" fillId="0" borderId="13" applyAlignment="1" pivotButton="0" quotePrefix="0" xfId="0">
      <alignment horizontal="center" vertical="center"/>
    </xf>
    <xf numFmtId="9" fontId="0" fillId="0" borderId="14" applyAlignment="1" pivotButton="0" quotePrefix="0" xfId="6">
      <alignment vertical="center"/>
    </xf>
    <xf numFmtId="0" fontId="0" fillId="0" borderId="15" applyAlignment="1" pivotButton="0" quotePrefix="0" xfId="0">
      <alignment horizontal="center" vertical="center"/>
    </xf>
    <xf numFmtId="0" fontId="0" fillId="0" borderId="16" applyAlignment="1" pivotButton="0" quotePrefix="0" xfId="0">
      <alignment horizontal="center" vertical="center"/>
    </xf>
    <xf numFmtId="9" fontId="0" fillId="0" borderId="17" applyAlignment="1" pivotButton="0" quotePrefix="0" xfId="6">
      <alignment vertical="center"/>
    </xf>
    <xf numFmtId="0" fontId="0" fillId="0" borderId="7" applyAlignment="1" pivotButton="0" quotePrefix="0" xfId="0">
      <alignment horizontal="center" vertical="center"/>
    </xf>
    <xf numFmtId="0" fontId="0" fillId="2" borderId="4" applyAlignment="1" pivotButton="0" quotePrefix="0" xfId="0">
      <alignment horizontal="center" vertical="center"/>
    </xf>
    <xf numFmtId="0" fontId="0" fillId="2" borderId="5" applyAlignment="1" pivotButton="0" quotePrefix="0" xfId="0">
      <alignment horizontal="center" vertical="center"/>
    </xf>
    <xf numFmtId="0" fontId="4" fillId="3" borderId="3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7" pivotButton="0" quotePrefix="0" xfId="0"/>
    <xf numFmtId="170" fontId="6" fillId="3" borderId="1" applyAlignment="1" pivotButton="0" quotePrefix="0" xfId="4">
      <alignment horizontal="center" vertical="center"/>
    </xf>
    <xf numFmtId="171" fontId="6" fillId="0" borderId="1" applyAlignment="1" pivotButton="0" quotePrefix="0" xfId="4">
      <alignment horizontal="center" vertical="center"/>
    </xf>
    <xf numFmtId="172" fontId="6" fillId="0" borderId="1" applyAlignment="1" pivotButton="0" quotePrefix="0" xfId="2">
      <alignment horizontal="center" vertical="center"/>
    </xf>
    <xf numFmtId="173" fontId="6" fillId="0" borderId="1" applyAlignment="1" pivotButton="0" quotePrefix="0" xfId="3">
      <alignment horizontal="center" vertical="center"/>
    </xf>
    <xf numFmtId="170" fontId="6" fillId="0" borderId="1" applyAlignment="1" pivotButton="0" quotePrefix="0" xfId="3">
      <alignment horizontal="center" vertical="center"/>
    </xf>
    <xf numFmtId="41" fontId="3" fillId="2" borderId="1" applyAlignment="1" pivotButton="0" quotePrefix="0" xfId="1">
      <alignment horizontal="center" vertical="center"/>
    </xf>
    <xf numFmtId="41" fontId="3" fillId="3" borderId="1" applyAlignment="1" pivotButton="0" quotePrefix="0" xfId="1">
      <alignment horizontal="center" vertical="center"/>
    </xf>
    <xf numFmtId="164" fontId="4" fillId="2" borderId="1" applyAlignment="1" pivotButton="0" quotePrefix="0" xfId="0">
      <alignment horizontal="center" vertical="center" wrapText="1"/>
    </xf>
    <xf numFmtId="166" fontId="0" fillId="2" borderId="1" applyAlignment="1" pivotButton="0" quotePrefix="0" xfId="0">
      <alignment horizontal="center" vertical="center"/>
    </xf>
    <xf numFmtId="0" fontId="0" fillId="0" borderId="2" pivotButton="0" quotePrefix="0" xfId="0"/>
    <xf numFmtId="165" fontId="4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horizontal="center" vertical="center" wrapText="1"/>
    </xf>
    <xf numFmtId="0" fontId="0" fillId="0" borderId="5" pivotButton="0" quotePrefix="0" xfId="0"/>
    <xf numFmtId="168" fontId="0" fillId="2" borderId="1" applyAlignment="1" pivotButton="0" quotePrefix="0" xfId="0">
      <alignment horizontal="center" vertical="center"/>
    </xf>
    <xf numFmtId="169" fontId="0" fillId="2" borderId="1" applyAlignment="1" pivotButton="0" quotePrefix="0" xfId="0">
      <alignment horizontal="center" vertical="center"/>
    </xf>
    <xf numFmtId="41" fontId="0" fillId="0" borderId="1" applyAlignment="1" pivotButton="0" quotePrefix="0" xfId="1">
      <alignment vertical="center"/>
    </xf>
    <xf numFmtId="0" fontId="0" fillId="0" borderId="21" pivotButton="0" quotePrefix="0" xfId="0"/>
  </cellXfs>
  <cellStyles count="7">
    <cellStyle name="표준" xfId="0" builtinId="0"/>
    <cellStyle name="쉼표 [0]" xfId="1" builtinId="6"/>
    <cellStyle name="통화 [0]" xfId="2" builtinId="7"/>
    <cellStyle name="표준_기본작업-3" xfId="3"/>
    <cellStyle name="쉼표 [0] 2" xfId="4"/>
    <cellStyle name="표준 2" xfId="5"/>
    <cellStyle name="백분율" xfId="6" builtinId="5"/>
  </cellStyles>
  <dxfs count="2">
    <dxf>
      <fill>
        <patternFill>
          <fgColor indexed="64"/>
          <bgColor rgb="FFFFFF00"/>
        </patternFill>
      </fill>
    </dxf>
    <dxf>
      <font>
        <b val="1"/>
        <i val="1"/>
        <color rgb="FF00B05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styles" Target="styles.xml" Id="rId9"/><Relationship Type="http://schemas.openxmlformats.org/officeDocument/2006/relationships/theme" Target="theme/theme1.xml" Id="rId10"/><Relationship Type="http://schemas.microsoft.com/office/2006/relationships/vbaProject" Target="vbaProject.bin" Id="rId11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ko-KR"/>
        </a:p>
      </txPr>
    </title>
    <plotArea>
      <layout/>
      <barChart>
        <barDir val="col"/>
        <grouping val="clustered"/>
        <varyColors val="0"/>
        <ser>
          <idx val="0"/>
          <order val="0"/>
          <tx>
            <strRef>
              <f>'기타작업-1'!$B$3</f>
              <strCache>
                <ptCount val="1"/>
                <pt idx="0">
                  <v>1반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'기타작업-1'!$C$2:$H$2</f>
              <strCache>
                <ptCount val="6"/>
                <pt idx="0">
                  <v>모의1</v>
                </pt>
                <pt idx="1">
                  <v>모의2</v>
                </pt>
                <pt idx="2">
                  <v>모의3</v>
                </pt>
                <pt idx="3">
                  <v>중간</v>
                </pt>
                <pt idx="4">
                  <v>기말</v>
                </pt>
                <pt idx="5">
                  <v>수행</v>
                </pt>
              </strCache>
            </strRef>
          </cat>
          <val>
            <numRef>
              <f>'기타작업-1'!$C$3:$H$3</f>
              <numCache>
                <formatCode>General</formatCode>
                <ptCount val="6"/>
                <pt idx="0">
                  <v>97</v>
                </pt>
                <pt idx="1">
                  <v>82</v>
                </pt>
                <pt idx="2">
                  <v>81</v>
                </pt>
                <pt idx="3">
                  <v>78</v>
                </pt>
                <pt idx="4">
                  <v>87</v>
                </pt>
                <pt idx="5">
                  <v>86</v>
                </pt>
              </numCache>
            </numRef>
          </val>
        </ser>
        <ser>
          <idx val="1"/>
          <order val="1"/>
          <tx>
            <strRef>
              <f>'기타작업-1'!$B$4</f>
              <strCache>
                <ptCount val="1"/>
                <pt idx="0">
                  <v>2반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'기타작업-1'!$C$2:$H$2</f>
              <strCache>
                <ptCount val="6"/>
                <pt idx="0">
                  <v>모의1</v>
                </pt>
                <pt idx="1">
                  <v>모의2</v>
                </pt>
                <pt idx="2">
                  <v>모의3</v>
                </pt>
                <pt idx="3">
                  <v>중간</v>
                </pt>
                <pt idx="4">
                  <v>기말</v>
                </pt>
                <pt idx="5">
                  <v>수행</v>
                </pt>
              </strCache>
            </strRef>
          </cat>
          <val>
            <numRef>
              <f>'기타작업-1'!$C$4:$H$4</f>
              <numCache>
                <formatCode>General</formatCode>
                <ptCount val="6"/>
                <pt idx="0">
                  <v>63</v>
                </pt>
                <pt idx="1">
                  <v>69</v>
                </pt>
                <pt idx="2">
                  <v>63</v>
                </pt>
                <pt idx="3">
                  <v>89</v>
                </pt>
                <pt idx="4">
                  <v>66</v>
                </pt>
                <pt idx="5">
                  <v>70</v>
                </pt>
              </numCache>
            </numRef>
          </val>
        </ser>
        <ser>
          <idx val="2"/>
          <order val="2"/>
          <tx>
            <strRef>
              <f>'기타작업-1'!$B$5</f>
              <strCache>
                <ptCount val="1"/>
                <pt idx="0">
                  <v>3반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'기타작업-1'!$C$2:$H$2</f>
              <strCache>
                <ptCount val="6"/>
                <pt idx="0">
                  <v>모의1</v>
                </pt>
                <pt idx="1">
                  <v>모의2</v>
                </pt>
                <pt idx="2">
                  <v>모의3</v>
                </pt>
                <pt idx="3">
                  <v>중간</v>
                </pt>
                <pt idx="4">
                  <v>기말</v>
                </pt>
                <pt idx="5">
                  <v>수행</v>
                </pt>
              </strCache>
            </strRef>
          </cat>
          <val>
            <numRef>
              <f>'기타작업-1'!$C$5:$H$5</f>
              <numCache>
                <formatCode>General</formatCode>
                <ptCount val="6"/>
                <pt idx="0">
                  <v>66</v>
                </pt>
                <pt idx="1">
                  <v>81</v>
                </pt>
                <pt idx="2">
                  <v>92</v>
                </pt>
                <pt idx="3">
                  <v>61</v>
                </pt>
                <pt idx="4">
                  <v>96</v>
                </pt>
                <pt idx="5">
                  <v>80</v>
                </pt>
              </numCache>
            </numRef>
          </val>
        </ser>
        <ser>
          <idx val="3"/>
          <order val="3"/>
          <tx>
            <strRef>
              <f>'기타작업-1'!$B$6</f>
              <strCache>
                <ptCount val="1"/>
                <pt idx="0">
                  <v>4반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'기타작업-1'!$C$2:$H$2</f>
              <strCache>
                <ptCount val="6"/>
                <pt idx="0">
                  <v>모의1</v>
                </pt>
                <pt idx="1">
                  <v>모의2</v>
                </pt>
                <pt idx="2">
                  <v>모의3</v>
                </pt>
                <pt idx="3">
                  <v>중간</v>
                </pt>
                <pt idx="4">
                  <v>기말</v>
                </pt>
                <pt idx="5">
                  <v>수행</v>
                </pt>
              </strCache>
            </strRef>
          </cat>
          <val>
            <numRef>
              <f>'기타작업-1'!$C$6:$H$6</f>
              <numCache>
                <formatCode>General</formatCode>
                <ptCount val="6"/>
                <pt idx="0">
                  <v>97</v>
                </pt>
                <pt idx="1">
                  <v>70</v>
                </pt>
                <pt idx="2">
                  <v>60</v>
                </pt>
                <pt idx="3">
                  <v>61</v>
                </pt>
                <pt idx="4">
                  <v>98</v>
                </pt>
                <pt idx="5">
                  <v>88</v>
                </pt>
              </numCache>
            </numRef>
          </val>
        </ser>
        <ser>
          <idx val="4"/>
          <order val="4"/>
          <tx>
            <strRef>
              <f>'기타작업-1'!$B$7</f>
              <strCache>
                <ptCount val="1"/>
                <pt idx="0">
                  <v>5반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'기타작업-1'!$C$2:$H$2</f>
              <strCache>
                <ptCount val="6"/>
                <pt idx="0">
                  <v>모의1</v>
                </pt>
                <pt idx="1">
                  <v>모의2</v>
                </pt>
                <pt idx="2">
                  <v>모의3</v>
                </pt>
                <pt idx="3">
                  <v>중간</v>
                </pt>
                <pt idx="4">
                  <v>기말</v>
                </pt>
                <pt idx="5">
                  <v>수행</v>
                </pt>
              </strCache>
            </strRef>
          </cat>
          <val>
            <numRef>
              <f>'기타작업-1'!$C$7:$H$7</f>
              <numCache>
                <formatCode>General</formatCode>
                <ptCount val="6"/>
                <pt idx="0">
                  <v>63</v>
                </pt>
                <pt idx="1">
                  <v>70</v>
                </pt>
                <pt idx="2">
                  <v>99</v>
                </pt>
                <pt idx="3">
                  <v>95</v>
                </pt>
                <pt idx="4">
                  <v>100</v>
                </pt>
                <pt idx="5">
                  <v>94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7273263"/>
        <axId val="2127290063"/>
      </barChart>
      <catAx>
        <axId val="2127273263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ko-KR"/>
          </a:p>
        </txPr>
        <crossAx val="2127290063"/>
        <crosses val="autoZero"/>
        <auto val="1"/>
        <lblAlgn val="ctr"/>
        <lblOffset val="100"/>
        <noMultiLvlLbl val="0"/>
      </catAx>
      <valAx>
        <axId val="21272900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ko-KR"/>
          </a:p>
        </txPr>
        <crossAx val="212727326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ko-KR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wsDr xmlns="http://schemas.openxmlformats.org/drawingml/2006/spreadsheetDrawing">
  <twoCellAnchor>
    <from>
      <col>0</col>
      <colOff>697965</colOff>
      <row>7</row>
      <rowOff>198504</rowOff>
    </from>
    <to>
      <col>8</col>
      <colOff>-1</colOff>
      <row>21</row>
      <rowOff>198504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8.xml.rels><Relationships xmlns="http://schemas.openxmlformats.org/package/2006/relationships"><Relationship Type="http://schemas.openxmlformats.org/officeDocument/2006/relationships/vmlDrawing" Target="/xl/drawings/vmlDrawing2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2:G20"/>
  <sheetViews>
    <sheetView zoomScale="115" zoomScaleNormal="115" workbookViewId="0">
      <selection activeCell="F12" activeCellId="1" sqref="B4 F12"/>
    </sheetView>
  </sheetViews>
  <sheetFormatPr baseColWidth="8" defaultRowHeight="19.2"/>
  <cols>
    <col width="21.08984375" customWidth="1" style="70" min="1" max="1"/>
    <col width="20.81640625" bestFit="1" customWidth="1" style="70" min="6" max="6"/>
    <col width="7.81640625" customWidth="1" style="70" min="8" max="8"/>
    <col width="7.36328125" customWidth="1" style="70" min="10" max="10"/>
    <col width="12.90625" customWidth="1" style="70" min="11" max="11"/>
  </cols>
  <sheetData>
    <row r="2">
      <c r="A2" s="64" t="inlineStr">
        <is>
          <t>아이스크림 현황</t>
        </is>
      </c>
      <c r="B2" s="71" t="n"/>
      <c r="C2" s="71" t="n"/>
      <c r="D2" s="71" t="n"/>
      <c r="E2" s="71" t="n"/>
      <c r="F2" s="71" t="n"/>
      <c r="G2" s="71" t="n"/>
    </row>
    <row r="3">
      <c r="A3" s="24" t="inlineStr">
        <is>
          <t>메뉴</t>
        </is>
      </c>
      <c r="B3" s="24" t="inlineStr">
        <is>
          <t>코드</t>
        </is>
      </c>
      <c r="C3" s="72" t="inlineStr">
        <is>
          <t>납품 회사</t>
        </is>
      </c>
      <c r="D3" s="24" t="inlineStr">
        <is>
          <t>단가</t>
        </is>
      </c>
      <c r="E3" s="72" t="inlineStr">
        <is>
          <t>수량</t>
        </is>
      </c>
      <c r="F3" s="24" t="inlineStr">
        <is>
          <t>출시(예정)일</t>
        </is>
      </c>
      <c r="G3" s="24" t="inlineStr">
        <is>
          <t>순위</t>
        </is>
      </c>
    </row>
    <row r="4">
      <c r="A4" s="26" t="inlineStr">
        <is>
          <t>뉴욕 치즈 케이크</t>
        </is>
      </c>
      <c r="B4" s="26" t="inlineStr">
        <is>
          <t>J-2</t>
        </is>
      </c>
      <c r="C4" s="73" t="inlineStr">
        <is>
          <t>A제과</t>
        </is>
      </c>
      <c r="D4" s="74" t="n">
        <v>5000</v>
      </c>
      <c r="E4" s="73" t="n">
        <v>32</v>
      </c>
      <c r="F4" s="75" t="n">
        <v>45179</v>
      </c>
      <c r="G4" s="76">
        <f>RANK(E4,$E$4:$E$20)</f>
        <v/>
      </c>
    </row>
    <row r="5">
      <c r="A5" s="26" t="inlineStr">
        <is>
          <t>민트 초코</t>
        </is>
      </c>
      <c r="B5" s="26" t="inlineStr">
        <is>
          <t>A-9</t>
        </is>
      </c>
      <c r="C5" s="73" t="inlineStr">
        <is>
          <t>S푸드</t>
        </is>
      </c>
      <c r="D5" s="74" t="n">
        <v>4500</v>
      </c>
      <c r="E5" s="73" t="n">
        <v>21</v>
      </c>
      <c r="F5" s="75" t="n">
        <v>45506</v>
      </c>
      <c r="G5" s="76">
        <f>RANK(E5,$E$4:$E$20)</f>
        <v/>
      </c>
    </row>
    <row r="6">
      <c r="A6" s="26" t="inlineStr">
        <is>
          <t>초코 봉봉</t>
        </is>
      </c>
      <c r="B6" s="26" t="inlineStr">
        <is>
          <t>C-4</t>
        </is>
      </c>
      <c r="C6" s="73" t="inlineStr">
        <is>
          <t>D회사</t>
        </is>
      </c>
      <c r="D6" s="74" t="n">
        <v>4000</v>
      </c>
      <c r="E6" s="73" t="n">
        <v>35</v>
      </c>
      <c r="F6" s="75" t="n">
        <v>45170</v>
      </c>
      <c r="G6" s="76">
        <f>RANK(E6,$E$4:$E$20)</f>
        <v/>
      </c>
    </row>
    <row r="7">
      <c r="A7" s="26" t="inlineStr">
        <is>
          <t>바닐라</t>
        </is>
      </c>
      <c r="B7" s="26" t="inlineStr">
        <is>
          <t>K-8</t>
        </is>
      </c>
      <c r="C7" s="73" t="inlineStr">
        <is>
          <t>R회사</t>
        </is>
      </c>
      <c r="D7" s="74" t="n">
        <v>3500</v>
      </c>
      <c r="E7" s="73" t="n">
        <v>46</v>
      </c>
      <c r="F7" s="75" t="n">
        <v>45534</v>
      </c>
      <c r="G7" s="76">
        <f>RANK(E7,$E$4:$E$20)</f>
        <v/>
      </c>
    </row>
    <row r="8">
      <c r="A8" s="26" t="inlineStr">
        <is>
          <t>쿠키 앤 크림</t>
        </is>
      </c>
      <c r="B8" s="26" t="inlineStr">
        <is>
          <t>U-1</t>
        </is>
      </c>
      <c r="C8" s="73" t="inlineStr">
        <is>
          <t>W제과</t>
        </is>
      </c>
      <c r="D8" s="74" t="n">
        <v>4500</v>
      </c>
      <c r="E8" s="73" t="n">
        <v>29</v>
      </c>
      <c r="F8" s="75" t="n">
        <v>44799</v>
      </c>
      <c r="G8" s="76">
        <f>RANK(E8,$E$4:$E$20)</f>
        <v/>
      </c>
    </row>
    <row r="9">
      <c r="A9" s="26" t="inlineStr">
        <is>
          <t>스트로베리</t>
        </is>
      </c>
      <c r="B9" s="26" t="inlineStr">
        <is>
          <t>V-5</t>
        </is>
      </c>
      <c r="C9" s="73" t="inlineStr">
        <is>
          <t>Q제과</t>
        </is>
      </c>
      <c r="D9" s="74" t="n">
        <v>4000</v>
      </c>
      <c r="E9" s="73" t="n">
        <v>40</v>
      </c>
      <c r="F9" s="75" t="n">
        <v>45147</v>
      </c>
      <c r="G9" s="76">
        <f>RANK(E9,$E$4:$E$20)</f>
        <v/>
      </c>
    </row>
    <row r="10">
      <c r="A10" s="26" t="inlineStr">
        <is>
          <t>그린티</t>
        </is>
      </c>
      <c r="B10" s="26" t="inlineStr">
        <is>
          <t>S-3</t>
        </is>
      </c>
      <c r="C10" s="73" t="inlineStr">
        <is>
          <t>B회사</t>
        </is>
      </c>
      <c r="D10" s="74" t="n">
        <v>4500</v>
      </c>
      <c r="E10" s="73" t="n">
        <v>37</v>
      </c>
      <c r="F10" s="75" t="n">
        <v>45550</v>
      </c>
      <c r="G10" s="76">
        <f>RANK(E10,$E$4:$E$20)</f>
        <v/>
      </c>
    </row>
    <row r="11">
      <c r="A11" s="26" t="inlineStr">
        <is>
          <t>뉴욕 초콜릿</t>
        </is>
      </c>
      <c r="B11" s="26" t="inlineStr">
        <is>
          <t>T-6</t>
        </is>
      </c>
      <c r="C11" s="73" t="inlineStr">
        <is>
          <t>L제과</t>
        </is>
      </c>
      <c r="D11" s="74" t="n">
        <v>4200</v>
      </c>
      <c r="E11" s="73" t="n">
        <v>25</v>
      </c>
      <c r="F11" s="75" t="n">
        <v>45889</v>
      </c>
      <c r="G11" s="76">
        <f>RANK(E11,$E$4:$E$20)</f>
        <v/>
      </c>
    </row>
    <row r="12">
      <c r="A12" s="26" t="inlineStr">
        <is>
          <t xml:space="preserve">아몬드 카라멜 </t>
        </is>
      </c>
      <c r="B12" s="26" t="inlineStr">
        <is>
          <t>Y-7</t>
        </is>
      </c>
      <c r="C12" s="73" t="inlineStr">
        <is>
          <t>N푸드</t>
        </is>
      </c>
      <c r="D12" s="74" t="n">
        <v>5500</v>
      </c>
      <c r="E12" s="73" t="n">
        <v>38</v>
      </c>
      <c r="F12" s="75" t="n">
        <v>45517</v>
      </c>
      <c r="G12" s="76">
        <f>RANK(E12,$E$4:$E$20)</f>
        <v/>
      </c>
    </row>
    <row r="13">
      <c r="A13" s="26" t="inlineStr">
        <is>
          <t>피카츄 치즈</t>
        </is>
      </c>
      <c r="B13" s="26" t="inlineStr">
        <is>
          <t>Y-4</t>
        </is>
      </c>
      <c r="C13" s="73" t="inlineStr">
        <is>
          <t>A제과</t>
        </is>
      </c>
      <c r="D13" s="74" t="n">
        <v>5000</v>
      </c>
      <c r="E13" s="73" t="n">
        <v>39</v>
      </c>
      <c r="F13" s="75" t="n">
        <v>45152</v>
      </c>
      <c r="G13" s="76">
        <f>RANK(E13,$E$4:$E$20)</f>
        <v/>
      </c>
    </row>
    <row r="14">
      <c r="A14" s="26" t="inlineStr">
        <is>
          <t>리자몽말고 꿀자몽</t>
        </is>
      </c>
      <c r="B14" s="26" t="inlineStr">
        <is>
          <t>S-4</t>
        </is>
      </c>
      <c r="C14" s="73" t="inlineStr">
        <is>
          <t>S푸드</t>
        </is>
      </c>
      <c r="D14" s="74" t="n">
        <v>4500</v>
      </c>
      <c r="E14" s="73" t="n">
        <v>34</v>
      </c>
      <c r="F14" s="75" t="n">
        <v>45088</v>
      </c>
      <c r="G14" s="76">
        <f>RANK(E14,$E$4:$E$20)</f>
        <v/>
      </c>
    </row>
    <row r="15">
      <c r="A15" s="26" t="inlineStr">
        <is>
          <t>녹차 언덕</t>
        </is>
      </c>
      <c r="B15" s="26" t="inlineStr">
        <is>
          <t>V-6</t>
        </is>
      </c>
      <c r="C15" s="73" t="inlineStr">
        <is>
          <t>D회사</t>
        </is>
      </c>
      <c r="D15" s="74" t="n">
        <v>4000</v>
      </c>
      <c r="E15" s="73" t="n">
        <v>25</v>
      </c>
      <c r="F15" s="75" t="n">
        <v>45520</v>
      </c>
      <c r="G15" s="76">
        <f>RANK(E15,$E$4:$E$20)</f>
        <v/>
      </c>
    </row>
    <row r="16">
      <c r="A16" s="26" t="inlineStr">
        <is>
          <t>솜사탕 구름</t>
        </is>
      </c>
      <c r="B16" s="26" t="inlineStr">
        <is>
          <t>C-7</t>
        </is>
      </c>
      <c r="C16" s="73" t="inlineStr">
        <is>
          <t>R회사</t>
        </is>
      </c>
      <c r="D16" s="74" t="n">
        <v>3500</v>
      </c>
      <c r="E16" s="73" t="n">
        <v>33</v>
      </c>
      <c r="F16" s="75" t="n">
        <v>45092</v>
      </c>
      <c r="G16" s="76">
        <f>RANK(E16,$E$4:$E$20)</f>
        <v/>
      </c>
    </row>
    <row r="17">
      <c r="A17" s="26" t="inlineStr">
        <is>
          <t>레인보우 블랙</t>
        </is>
      </c>
      <c r="B17" s="26" t="inlineStr">
        <is>
          <t>A-3</t>
        </is>
      </c>
      <c r="C17" s="73" t="inlineStr">
        <is>
          <t>W제과</t>
        </is>
      </c>
      <c r="D17" s="74" t="n">
        <v>4500</v>
      </c>
      <c r="E17" s="73" t="n">
        <v>35</v>
      </c>
      <c r="F17" s="75" t="n">
        <v>45522</v>
      </c>
      <c r="G17" s="76">
        <f>RANK(E17,$E$4:$E$20)</f>
        <v/>
      </c>
    </row>
    <row r="18">
      <c r="A18" s="26" t="inlineStr">
        <is>
          <t>민트 블랙</t>
        </is>
      </c>
      <c r="B18" s="26" t="inlineStr">
        <is>
          <t>K-6</t>
        </is>
      </c>
      <c r="C18" s="73" t="inlineStr">
        <is>
          <t>Q제과</t>
        </is>
      </c>
      <c r="D18" s="74" t="n">
        <v>4000</v>
      </c>
      <c r="E18" s="73" t="n">
        <v>46</v>
      </c>
      <c r="F18" s="75" t="n">
        <v>45949</v>
      </c>
      <c r="G18" s="76">
        <f>RANK(E18,$E$4:$E$20)</f>
        <v/>
      </c>
    </row>
    <row r="19">
      <c r="A19" s="26" t="inlineStr">
        <is>
          <t>블루 레몬</t>
        </is>
      </c>
      <c r="B19" s="26" t="inlineStr">
        <is>
          <t>T-1</t>
        </is>
      </c>
      <c r="C19" s="73" t="inlineStr">
        <is>
          <t>B회사</t>
        </is>
      </c>
      <c r="D19" s="74" t="n">
        <v>4500</v>
      </c>
      <c r="E19" s="73" t="n">
        <v>35</v>
      </c>
      <c r="F19" s="75" t="n">
        <v>45458</v>
      </c>
      <c r="G19" s="76">
        <f>RANK(E19,$E$4:$E$20)</f>
        <v/>
      </c>
    </row>
    <row r="20">
      <c r="A20" s="26" t="inlineStr">
        <is>
          <t>체리콕</t>
        </is>
      </c>
      <c r="B20" s="26" t="inlineStr">
        <is>
          <t>V-5</t>
        </is>
      </c>
      <c r="C20" s="73" t="inlineStr">
        <is>
          <t>L제과</t>
        </is>
      </c>
      <c r="D20" s="74" t="n">
        <v>4200</v>
      </c>
      <c r="E20" s="73" t="n">
        <v>46</v>
      </c>
      <c r="F20" s="75" t="n">
        <v>45433</v>
      </c>
      <c r="G20" s="76">
        <f>RANK(E20,$E$4:$E$20)</f>
        <v/>
      </c>
    </row>
  </sheetData>
  <mergeCells count="1">
    <mergeCell ref="A2:G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3">
    <outlinePr summaryBelow="1" summaryRight="1"/>
    <pageSetUpPr/>
  </sheetPr>
  <dimension ref="B3:H21"/>
  <sheetViews>
    <sheetView workbookViewId="0">
      <selection activeCell="C15" sqref="C15"/>
    </sheetView>
  </sheetViews>
  <sheetFormatPr baseColWidth="8" defaultRowHeight="19.2"/>
  <cols>
    <col width="3.54296875" customWidth="1" style="70" min="1" max="1"/>
    <col width="19.1796875" customWidth="1" style="70" min="2" max="2"/>
    <col width="22.1796875" customWidth="1" style="70" min="7" max="7"/>
    <col width="10.54296875" customWidth="1" style="70" min="8" max="8"/>
  </cols>
  <sheetData>
    <row r="3">
      <c r="B3" s="64" t="inlineStr">
        <is>
          <t>아이스크림 현황</t>
        </is>
      </c>
      <c r="C3" s="71" t="n"/>
      <c r="D3" s="71" t="n"/>
      <c r="E3" s="71" t="n"/>
      <c r="F3" s="71" t="n"/>
      <c r="G3" s="71" t="n"/>
      <c r="H3" s="71" t="n"/>
    </row>
    <row r="4">
      <c r="B4" s="24" t="inlineStr">
        <is>
          <t>메뉴</t>
        </is>
      </c>
      <c r="C4" s="24" t="inlineStr">
        <is>
          <t>코드</t>
        </is>
      </c>
      <c r="D4" s="72" t="inlineStr">
        <is>
          <t>납품 회사</t>
        </is>
      </c>
      <c r="E4" s="24" t="inlineStr">
        <is>
          <t>단가</t>
        </is>
      </c>
      <c r="F4" s="72" t="inlineStr">
        <is>
          <t>수량</t>
        </is>
      </c>
      <c r="G4" s="24" t="inlineStr">
        <is>
          <t>출시(예정)일</t>
        </is>
      </c>
      <c r="H4" s="24" t="inlineStr">
        <is>
          <t>순위</t>
        </is>
      </c>
    </row>
    <row r="5">
      <c r="B5" s="26" t="inlineStr">
        <is>
          <t>뉴욕 치즈 케이크</t>
        </is>
      </c>
      <c r="C5" s="26" t="inlineStr">
        <is>
          <t>J-2</t>
        </is>
      </c>
      <c r="D5" s="73" t="inlineStr">
        <is>
          <t>A제과</t>
        </is>
      </c>
      <c r="E5" s="74" t="n">
        <v>5000</v>
      </c>
      <c r="F5" s="73" t="n">
        <v>32</v>
      </c>
      <c r="G5" s="75" t="n">
        <v>45179</v>
      </c>
      <c r="H5" s="76">
        <f>RANK(F5,$F$5:$F$21)</f>
        <v/>
      </c>
    </row>
    <row r="6">
      <c r="B6" s="26" t="inlineStr">
        <is>
          <t>민트 초코</t>
        </is>
      </c>
      <c r="C6" s="26" t="inlineStr">
        <is>
          <t>A-9</t>
        </is>
      </c>
      <c r="D6" s="73" t="inlineStr">
        <is>
          <t>S푸드</t>
        </is>
      </c>
      <c r="E6" s="74" t="n">
        <v>4500</v>
      </c>
      <c r="F6" s="73" t="n">
        <v>21</v>
      </c>
      <c r="G6" s="75" t="n">
        <v>45506</v>
      </c>
      <c r="H6" s="76">
        <f>RANK(F6,$F$5:$F$21)</f>
        <v/>
      </c>
    </row>
    <row r="7">
      <c r="B7" s="26" t="inlineStr">
        <is>
          <t>초코 봉봉</t>
        </is>
      </c>
      <c r="C7" s="26" t="inlineStr">
        <is>
          <t>C-4</t>
        </is>
      </c>
      <c r="D7" s="73" t="inlineStr">
        <is>
          <t>D회사</t>
        </is>
      </c>
      <c r="E7" s="74" t="n">
        <v>4000</v>
      </c>
      <c r="F7" s="73" t="n">
        <v>35</v>
      </c>
      <c r="G7" s="75" t="n">
        <v>45170</v>
      </c>
      <c r="H7" s="76">
        <f>RANK(F7,$F$5:$F$21)</f>
        <v/>
      </c>
    </row>
    <row r="8">
      <c r="B8" s="26" t="inlineStr">
        <is>
          <t>바닐라</t>
        </is>
      </c>
      <c r="C8" s="26" t="inlineStr">
        <is>
          <t>K-8</t>
        </is>
      </c>
      <c r="D8" s="73" t="inlineStr">
        <is>
          <t>R회사</t>
        </is>
      </c>
      <c r="E8" s="74" t="n">
        <v>3500</v>
      </c>
      <c r="F8" s="73" t="n">
        <v>46</v>
      </c>
      <c r="G8" s="75" t="n">
        <v>45534</v>
      </c>
      <c r="H8" s="76">
        <f>RANK(F8,$F$5:$F$21)</f>
        <v/>
      </c>
    </row>
    <row r="9">
      <c r="B9" s="26" t="inlineStr">
        <is>
          <t>쿠키 앤 크림</t>
        </is>
      </c>
      <c r="C9" s="26" t="inlineStr">
        <is>
          <t>U-1</t>
        </is>
      </c>
      <c r="D9" s="73" t="inlineStr">
        <is>
          <t>W제과</t>
        </is>
      </c>
      <c r="E9" s="74" t="n">
        <v>4500</v>
      </c>
      <c r="F9" s="73" t="n">
        <v>29</v>
      </c>
      <c r="G9" s="75" t="n">
        <v>44799</v>
      </c>
      <c r="H9" s="76">
        <f>RANK(F9,$F$5:$F$21)</f>
        <v/>
      </c>
    </row>
    <row r="10">
      <c r="B10" s="26" t="inlineStr">
        <is>
          <t>스트로베리</t>
        </is>
      </c>
      <c r="C10" s="26" t="inlineStr">
        <is>
          <t>V-5</t>
        </is>
      </c>
      <c r="D10" s="73" t="inlineStr">
        <is>
          <t>Q제과</t>
        </is>
      </c>
      <c r="E10" s="74" t="n">
        <v>4000</v>
      </c>
      <c r="F10" s="73" t="n">
        <v>40</v>
      </c>
      <c r="G10" s="75" t="n">
        <v>45147</v>
      </c>
      <c r="H10" s="76">
        <f>RANK(F10,$F$5:$F$21)</f>
        <v/>
      </c>
    </row>
    <row r="11">
      <c r="B11" s="26" t="inlineStr">
        <is>
          <t>그린티</t>
        </is>
      </c>
      <c r="C11" s="26" t="inlineStr">
        <is>
          <t>S-3</t>
        </is>
      </c>
      <c r="D11" s="73" t="inlineStr">
        <is>
          <t>B회사</t>
        </is>
      </c>
      <c r="E11" s="74" t="n">
        <v>4500</v>
      </c>
      <c r="F11" s="73" t="n">
        <v>37</v>
      </c>
      <c r="G11" s="75" t="n">
        <v>45550</v>
      </c>
      <c r="H11" s="76">
        <f>RANK(F11,$F$5:$F$21)</f>
        <v/>
      </c>
    </row>
    <row r="12">
      <c r="B12" s="26" t="inlineStr">
        <is>
          <t>뉴욕 초콜릿</t>
        </is>
      </c>
      <c r="C12" s="26" t="inlineStr">
        <is>
          <t>T-6</t>
        </is>
      </c>
      <c r="D12" s="73" t="inlineStr">
        <is>
          <t>L제과</t>
        </is>
      </c>
      <c r="E12" s="74" t="n">
        <v>4200</v>
      </c>
      <c r="F12" s="73" t="n">
        <v>25</v>
      </c>
      <c r="G12" s="75" t="n">
        <v>45889</v>
      </c>
      <c r="H12" s="76">
        <f>RANK(F12,$F$5:$F$21)</f>
        <v/>
      </c>
    </row>
    <row r="13">
      <c r="B13" s="26" t="inlineStr">
        <is>
          <t xml:space="preserve">아몬드 카라멜 </t>
        </is>
      </c>
      <c r="C13" s="26" t="inlineStr">
        <is>
          <t>Y-7</t>
        </is>
      </c>
      <c r="D13" s="73" t="inlineStr">
        <is>
          <t>N푸드</t>
        </is>
      </c>
      <c r="E13" s="74" t="n">
        <v>5500</v>
      </c>
      <c r="F13" s="73" t="n">
        <v>38</v>
      </c>
      <c r="G13" s="75" t="n">
        <v>45517</v>
      </c>
      <c r="H13" s="76">
        <f>RANK(F13,$F$5:$F$21)</f>
        <v/>
      </c>
    </row>
    <row r="14">
      <c r="B14" s="26" t="inlineStr">
        <is>
          <t>피카츄 치즈</t>
        </is>
      </c>
      <c r="C14" s="26" t="inlineStr">
        <is>
          <t>Y-4</t>
        </is>
      </c>
      <c r="D14" s="73" t="inlineStr">
        <is>
          <t>A제과</t>
        </is>
      </c>
      <c r="E14" s="74" t="n">
        <v>5000</v>
      </c>
      <c r="F14" s="73" t="n">
        <v>39</v>
      </c>
      <c r="G14" s="75" t="n">
        <v>45152</v>
      </c>
      <c r="H14" s="76">
        <f>RANK(F14,$F$5:$F$21)</f>
        <v/>
      </c>
    </row>
    <row r="15">
      <c r="B15" s="26" t="inlineStr">
        <is>
          <t>리자몽말고 꿀자몽</t>
        </is>
      </c>
      <c r="C15" s="26" t="inlineStr">
        <is>
          <t>S-4</t>
        </is>
      </c>
      <c r="D15" s="73" t="inlineStr">
        <is>
          <t>S푸드</t>
        </is>
      </c>
      <c r="E15" s="74" t="n">
        <v>4500</v>
      </c>
      <c r="F15" s="73" t="n">
        <v>34</v>
      </c>
      <c r="G15" s="75" t="n">
        <v>45088</v>
      </c>
      <c r="H15" s="76">
        <f>RANK(F15,$F$5:$F$21)</f>
        <v/>
      </c>
    </row>
    <row r="16">
      <c r="B16" s="26" t="inlineStr">
        <is>
          <t>녹차 언덕</t>
        </is>
      </c>
      <c r="C16" s="26" t="inlineStr">
        <is>
          <t>V-6</t>
        </is>
      </c>
      <c r="D16" s="73" t="inlineStr">
        <is>
          <t>D회사</t>
        </is>
      </c>
      <c r="E16" s="74" t="n">
        <v>4000</v>
      </c>
      <c r="F16" s="73" t="n">
        <v>25</v>
      </c>
      <c r="G16" s="75" t="n">
        <v>45520</v>
      </c>
      <c r="H16" s="76">
        <f>RANK(F16,$F$5:$F$21)</f>
        <v/>
      </c>
    </row>
    <row r="17">
      <c r="B17" s="26" t="inlineStr">
        <is>
          <t>솜사탕 구름</t>
        </is>
      </c>
      <c r="C17" s="26" t="inlineStr">
        <is>
          <t>C-7</t>
        </is>
      </c>
      <c r="D17" s="73" t="inlineStr">
        <is>
          <t>R회사</t>
        </is>
      </c>
      <c r="E17" s="74" t="n">
        <v>3500</v>
      </c>
      <c r="F17" s="73" t="n">
        <v>33</v>
      </c>
      <c r="G17" s="75" t="n">
        <v>45092</v>
      </c>
      <c r="H17" s="76">
        <f>RANK(F17,$F$5:$F$21)</f>
        <v/>
      </c>
    </row>
    <row r="18">
      <c r="B18" s="26" t="inlineStr">
        <is>
          <t>레인보우 블랙</t>
        </is>
      </c>
      <c r="C18" s="26" t="inlineStr">
        <is>
          <t>A-3</t>
        </is>
      </c>
      <c r="D18" s="73" t="inlineStr">
        <is>
          <t>W제과</t>
        </is>
      </c>
      <c r="E18" s="74" t="n">
        <v>4500</v>
      </c>
      <c r="F18" s="73" t="n">
        <v>35</v>
      </c>
      <c r="G18" s="75" t="n">
        <v>45522</v>
      </c>
      <c r="H18" s="76">
        <f>RANK(F18,$F$5:$F$21)</f>
        <v/>
      </c>
    </row>
    <row r="19">
      <c r="B19" s="26" t="inlineStr">
        <is>
          <t>민트 블랙</t>
        </is>
      </c>
      <c r="C19" s="26" t="inlineStr">
        <is>
          <t>K-6</t>
        </is>
      </c>
      <c r="D19" s="73" t="inlineStr">
        <is>
          <t>Q제과</t>
        </is>
      </c>
      <c r="E19" s="74" t="n">
        <v>4000</v>
      </c>
      <c r="F19" s="73" t="n">
        <v>46</v>
      </c>
      <c r="G19" s="75" t="n">
        <v>45949</v>
      </c>
      <c r="H19" s="76">
        <f>RANK(F19,$F$5:$F$21)</f>
        <v/>
      </c>
    </row>
    <row r="20">
      <c r="B20" s="26" t="inlineStr">
        <is>
          <t>블루 레몬</t>
        </is>
      </c>
      <c r="C20" s="26" t="inlineStr">
        <is>
          <t>T-1</t>
        </is>
      </c>
      <c r="D20" s="73" t="inlineStr">
        <is>
          <t>B회사</t>
        </is>
      </c>
      <c r="E20" s="74" t="n">
        <v>4500</v>
      </c>
      <c r="F20" s="73" t="n">
        <v>35</v>
      </c>
      <c r="G20" s="75" t="n">
        <v>45458</v>
      </c>
      <c r="H20" s="76">
        <f>RANK(F20,$F$5:$F$21)</f>
        <v/>
      </c>
    </row>
    <row r="21">
      <c r="B21" s="26" t="inlineStr">
        <is>
          <t>체리콕</t>
        </is>
      </c>
      <c r="C21" s="26" t="inlineStr">
        <is>
          <t>V-5</t>
        </is>
      </c>
      <c r="D21" s="73" t="inlineStr">
        <is>
          <t>L제과</t>
        </is>
      </c>
      <c r="E21" s="74" t="n">
        <v>4200</v>
      </c>
      <c r="F21" s="73" t="n">
        <v>46</v>
      </c>
      <c r="G21" s="75" t="n">
        <v>45433</v>
      </c>
      <c r="H21" s="76">
        <f>RANK(F21,$F$5:$F$21)</f>
        <v/>
      </c>
    </row>
  </sheetData>
  <mergeCells count="1">
    <mergeCell ref="B3:H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5">
    <outlinePr summaryBelow="1" summaryRight="1"/>
    <pageSetUpPr/>
  </sheetPr>
  <dimension ref="A1:Q30"/>
  <sheetViews>
    <sheetView zoomScale="85" zoomScaleNormal="85" workbookViewId="0">
      <selection activeCell="G24" sqref="G24"/>
    </sheetView>
  </sheetViews>
  <sheetFormatPr baseColWidth="8" defaultColWidth="10.7265625" defaultRowHeight="19.2"/>
  <cols>
    <col width="10.7265625" customWidth="1" style="1" min="1" max="6"/>
    <col width="12.26953125" customWidth="1" style="1" min="7" max="7"/>
    <col width="11.54296875" customWidth="1" style="1" min="8" max="8"/>
    <col width="10.7265625" customWidth="1" style="9" min="9" max="9"/>
    <col width="10.7265625" customWidth="1" style="1" min="10" max="12"/>
    <col width="14.453125" bestFit="1" customWidth="1" style="1" min="13" max="13"/>
    <col width="10.7265625" customWidth="1" style="1" min="14" max="16384"/>
  </cols>
  <sheetData>
    <row r="1">
      <c r="A1" s="14" t="inlineStr">
        <is>
          <t>[표1]</t>
        </is>
      </c>
      <c r="B1" s="10" t="n"/>
      <c r="C1" s="9" t="n"/>
      <c r="D1" s="9" t="n"/>
      <c r="E1" s="9" t="n"/>
      <c r="F1" s="9" t="n"/>
      <c r="G1" s="9" t="n"/>
      <c r="H1" s="9" t="n"/>
      <c r="K1" s="2" t="inlineStr">
        <is>
          <t>[표2]</t>
        </is>
      </c>
      <c r="L1" s="3" t="n"/>
      <c r="M1" s="3" t="n"/>
      <c r="N1" s="3" t="n"/>
      <c r="O1" s="3" t="n"/>
      <c r="P1" s="3" t="n"/>
      <c r="Q1" s="3" t="n"/>
    </row>
    <row r="2">
      <c r="A2" s="4" t="inlineStr">
        <is>
          <t>부서</t>
        </is>
      </c>
      <c r="B2" s="4" t="inlineStr">
        <is>
          <t>코드</t>
        </is>
      </c>
      <c r="C2" s="4" t="inlineStr">
        <is>
          <t>년차</t>
        </is>
      </c>
      <c r="D2" s="77" t="inlineStr">
        <is>
          <t>연령</t>
        </is>
      </c>
      <c r="E2" s="77" t="inlineStr">
        <is>
          <t>교육수료</t>
        </is>
      </c>
      <c r="F2" s="77" t="inlineStr">
        <is>
          <t>미수료</t>
        </is>
      </c>
      <c r="G2" s="78" t="inlineStr">
        <is>
          <t>신청과목</t>
        </is>
      </c>
      <c r="H2" s="13" t="inlineStr">
        <is>
          <t>금액</t>
        </is>
      </c>
      <c r="I2" s="13" t="inlineStr">
        <is>
          <t>교육과정</t>
        </is>
      </c>
      <c r="K2" s="20" t="inlineStr">
        <is>
          <t>할인율</t>
        </is>
      </c>
      <c r="L2" s="79" t="n">
        <v>1</v>
      </c>
      <c r="M2" s="79" t="n">
        <v>5</v>
      </c>
      <c r="N2" s="79" t="n">
        <v>10</v>
      </c>
      <c r="O2" s="79" t="n">
        <v>15</v>
      </c>
      <c r="P2" s="17" t="n"/>
    </row>
    <row r="3">
      <c r="A3" s="4" t="inlineStr">
        <is>
          <t>사업부</t>
        </is>
      </c>
      <c r="B3" s="8" t="inlineStr">
        <is>
          <t>AC-K-1</t>
        </is>
      </c>
      <c r="C3" s="8" t="n">
        <v>6</v>
      </c>
      <c r="D3" s="77" t="n">
        <v>21</v>
      </c>
      <c r="E3" s="4" t="n">
        <v>24</v>
      </c>
      <c r="F3" s="4" t="n">
        <v>4</v>
      </c>
      <c r="G3" s="4" t="n"/>
      <c r="H3" s="80" t="n"/>
      <c r="I3" s="11" t="n"/>
      <c r="K3" s="81" t="n"/>
      <c r="L3" s="82" t="n">
        <v>5</v>
      </c>
      <c r="M3" s="82" t="n">
        <v>10</v>
      </c>
      <c r="N3" s="82" t="n">
        <v>15</v>
      </c>
      <c r="O3" s="82" t="n">
        <v>20</v>
      </c>
      <c r="P3" s="17" t="n"/>
    </row>
    <row r="4">
      <c r="A4" s="11" t="inlineStr">
        <is>
          <t>사업부</t>
        </is>
      </c>
      <c r="B4" s="11" t="inlineStr">
        <is>
          <t>AC-K-1</t>
        </is>
      </c>
      <c r="C4" s="8" t="n">
        <v>16</v>
      </c>
      <c r="D4" s="77" t="n">
        <v>41</v>
      </c>
      <c r="E4" s="4" t="n">
        <v>22</v>
      </c>
      <c r="F4" s="4" t="n">
        <v>1</v>
      </c>
      <c r="G4" s="4" t="n"/>
      <c r="H4" s="80" t="n"/>
      <c r="I4" s="11" t="n"/>
      <c r="K4" s="8" t="inlineStr">
        <is>
          <t>AC-K-1</t>
        </is>
      </c>
      <c r="L4" s="18" t="n">
        <v>0.01</v>
      </c>
      <c r="M4" s="18" t="n">
        <v>0.1</v>
      </c>
      <c r="N4" s="18" t="n">
        <v>0.2</v>
      </c>
      <c r="O4" s="18" t="n">
        <v>0.3</v>
      </c>
      <c r="P4" s="17" t="n"/>
    </row>
    <row r="5">
      <c r="A5" s="11" t="inlineStr">
        <is>
          <t>교육부</t>
        </is>
      </c>
      <c r="B5" s="11" t="inlineStr">
        <is>
          <t>DM-K-2</t>
        </is>
      </c>
      <c r="C5" s="8" t="n">
        <v>11</v>
      </c>
      <c r="D5" s="77" t="n">
        <v>59</v>
      </c>
      <c r="E5" s="4" t="n">
        <v>8</v>
      </c>
      <c r="F5" s="4" t="n">
        <v>5</v>
      </c>
      <c r="G5" s="4" t="n"/>
      <c r="H5" s="80" t="n"/>
      <c r="I5" s="11" t="n"/>
      <c r="K5" s="8" t="inlineStr">
        <is>
          <t>DM-K-2</t>
        </is>
      </c>
      <c r="L5" s="18" t="n">
        <v>0.03</v>
      </c>
      <c r="M5" s="18" t="n">
        <v>0.13</v>
      </c>
      <c r="N5" s="18" t="n">
        <v>0.23</v>
      </c>
      <c r="O5" s="18" t="n">
        <v>0.33</v>
      </c>
      <c r="P5" s="17" t="n"/>
    </row>
    <row r="6">
      <c r="A6" s="11" t="inlineStr">
        <is>
          <t>행정부</t>
        </is>
      </c>
      <c r="B6" s="11" t="inlineStr">
        <is>
          <t>DM-K-2</t>
        </is>
      </c>
      <c r="C6" s="8" t="n">
        <v>19</v>
      </c>
      <c r="D6" s="77" t="n">
        <v>32</v>
      </c>
      <c r="E6" s="4" t="n">
        <v>11</v>
      </c>
      <c r="F6" s="4" t="n">
        <v>0</v>
      </c>
      <c r="G6" s="4" t="n"/>
      <c r="H6" s="80" t="n"/>
      <c r="I6" s="11" t="n"/>
      <c r="K6" s="8" t="inlineStr">
        <is>
          <t>FA-L-1</t>
        </is>
      </c>
      <c r="L6" s="18" t="n">
        <v>0.05</v>
      </c>
      <c r="M6" s="18" t="n">
        <v>0.15</v>
      </c>
      <c r="N6" s="18" t="n">
        <v>0.25</v>
      </c>
      <c r="O6" s="18" t="n">
        <v>0.35</v>
      </c>
      <c r="P6" s="17" t="n"/>
    </row>
    <row r="7">
      <c r="A7" s="11" t="inlineStr">
        <is>
          <t>사업부</t>
        </is>
      </c>
      <c r="B7" s="11" t="inlineStr">
        <is>
          <t>FA-L-1</t>
        </is>
      </c>
      <c r="C7" s="8" t="n">
        <v>6</v>
      </c>
      <c r="D7" s="77" t="n">
        <v>44</v>
      </c>
      <c r="E7" s="4" t="n">
        <v>26</v>
      </c>
      <c r="F7" s="4" t="n">
        <v>2</v>
      </c>
      <c r="G7" s="4" t="n"/>
      <c r="H7" s="80" t="n"/>
      <c r="I7" s="11" t="n"/>
      <c r="K7" s="8" t="inlineStr">
        <is>
          <t>PA-L-1</t>
        </is>
      </c>
      <c r="L7" s="18" t="n">
        <v>0.07000000000000001</v>
      </c>
      <c r="M7" s="18" t="n">
        <v>0.17</v>
      </c>
      <c r="N7" s="18" t="n">
        <v>0.27</v>
      </c>
      <c r="O7" s="18" t="n">
        <v>0.4</v>
      </c>
      <c r="P7" s="17" t="n"/>
    </row>
    <row r="8">
      <c r="A8" s="11" t="inlineStr">
        <is>
          <t>교육부</t>
        </is>
      </c>
      <c r="B8" s="11" t="inlineStr">
        <is>
          <t>FA-L-1</t>
        </is>
      </c>
      <c r="C8" s="8" t="n">
        <v>14</v>
      </c>
      <c r="D8" s="77" t="n">
        <v>41</v>
      </c>
      <c r="E8" s="4" t="n">
        <v>10</v>
      </c>
      <c r="F8" s="4" t="n">
        <v>4</v>
      </c>
      <c r="G8" s="4" t="n"/>
      <c r="H8" s="80" t="n"/>
      <c r="I8" s="11" t="n"/>
    </row>
    <row r="9">
      <c r="A9" s="11" t="inlineStr">
        <is>
          <t>행정부</t>
        </is>
      </c>
      <c r="B9" s="11" t="inlineStr">
        <is>
          <t>FA-L-1</t>
        </is>
      </c>
      <c r="C9" s="8" t="n">
        <v>11</v>
      </c>
      <c r="D9" s="77" t="n">
        <v>53</v>
      </c>
      <c r="E9" s="4" t="n">
        <v>30</v>
      </c>
      <c r="F9" s="4" t="n">
        <v>5</v>
      </c>
      <c r="G9" s="4" t="n"/>
      <c r="H9" s="80" t="n"/>
      <c r="I9" s="11" t="n"/>
      <c r="K9" s="1" t="inlineStr">
        <is>
          <t>[표3]</t>
        </is>
      </c>
    </row>
    <row r="10">
      <c r="A10" s="11" t="inlineStr">
        <is>
          <t>사업부</t>
        </is>
      </c>
      <c r="B10" s="11" t="inlineStr">
        <is>
          <t>DM-K-2</t>
        </is>
      </c>
      <c r="C10" s="8" t="n">
        <v>20</v>
      </c>
      <c r="D10" s="77" t="n">
        <v>21</v>
      </c>
      <c r="E10" s="4" t="n">
        <v>16</v>
      </c>
      <c r="F10" s="4" t="n">
        <v>3</v>
      </c>
      <c r="G10" s="4" t="n"/>
      <c r="H10" s="80" t="n"/>
      <c r="I10" s="11" t="n"/>
      <c r="K10" s="8" t="inlineStr">
        <is>
          <t>코드</t>
        </is>
      </c>
      <c r="L10" s="8" t="inlineStr">
        <is>
          <t>과목</t>
        </is>
      </c>
      <c r="M10" s="8" t="inlineStr">
        <is>
          <t>급수</t>
        </is>
      </c>
      <c r="N10" s="8" t="inlineStr">
        <is>
          <t>유형</t>
        </is>
      </c>
    </row>
    <row r="11">
      <c r="A11" s="11" t="inlineStr">
        <is>
          <t>교육부</t>
        </is>
      </c>
      <c r="B11" s="11" t="inlineStr">
        <is>
          <t>AC-K-1</t>
        </is>
      </c>
      <c r="C11" s="8" t="n">
        <v>18</v>
      </c>
      <c r="D11" s="77" t="n">
        <v>52</v>
      </c>
      <c r="E11" s="4" t="n">
        <v>16</v>
      </c>
      <c r="F11" s="4" t="n">
        <v>3</v>
      </c>
      <c r="G11" s="4" t="n"/>
      <c r="H11" s="80" t="n"/>
      <c r="I11" s="11" t="n"/>
      <c r="K11" s="8" t="inlineStr">
        <is>
          <t>AC-K-1</t>
        </is>
      </c>
      <c r="L11" s="8" t="inlineStr">
        <is>
          <t>컴활</t>
        </is>
      </c>
      <c r="M11" s="8" t="inlineStr">
        <is>
          <t>1급</t>
        </is>
      </c>
      <c r="N11" s="8" t="inlineStr">
        <is>
          <t>이론</t>
        </is>
      </c>
    </row>
    <row r="12">
      <c r="A12" s="11" t="inlineStr">
        <is>
          <t>교육부</t>
        </is>
      </c>
      <c r="B12" s="11" t="inlineStr">
        <is>
          <t>PA-L-1</t>
        </is>
      </c>
      <c r="C12" s="8" t="n">
        <v>20</v>
      </c>
      <c r="D12" s="77" t="n">
        <v>52</v>
      </c>
      <c r="E12" s="4" t="n">
        <v>4</v>
      </c>
      <c r="F12" s="4" t="n">
        <v>5</v>
      </c>
      <c r="G12" s="4" t="n"/>
      <c r="H12" s="80" t="n"/>
      <c r="I12" s="11" t="n"/>
      <c r="K12" s="8" t="inlineStr">
        <is>
          <t>DM-K-2</t>
        </is>
      </c>
      <c r="L12" s="11" t="inlineStr">
        <is>
          <t>회계</t>
        </is>
      </c>
      <c r="M12" s="11" t="inlineStr">
        <is>
          <t>2급</t>
        </is>
      </c>
      <c r="N12" s="11" t="inlineStr">
        <is>
          <t>기출</t>
        </is>
      </c>
    </row>
    <row r="13">
      <c r="A13" s="11" t="inlineStr">
        <is>
          <t>교육부</t>
        </is>
      </c>
      <c r="B13" s="11" t="inlineStr">
        <is>
          <t>PA-L-1</t>
        </is>
      </c>
      <c r="C13" s="8" t="n">
        <v>20</v>
      </c>
      <c r="D13" s="77" t="n">
        <v>38</v>
      </c>
      <c r="E13" s="4" t="n">
        <v>7</v>
      </c>
      <c r="F13" s="4" t="n">
        <v>2</v>
      </c>
      <c r="G13" s="4" t="n"/>
      <c r="H13" s="80" t="n"/>
      <c r="I13" s="11" t="n"/>
      <c r="K13" s="8" t="inlineStr">
        <is>
          <t>FA-L-1</t>
        </is>
      </c>
      <c r="L13" s="11" t="inlineStr">
        <is>
          <t>세무</t>
        </is>
      </c>
      <c r="M13" s="11" t="inlineStr">
        <is>
          <t>1급</t>
        </is>
      </c>
      <c r="N13" s="11" t="inlineStr">
        <is>
          <t>이론</t>
        </is>
      </c>
    </row>
    <row r="14">
      <c r="A14" s="11" t="inlineStr">
        <is>
          <t>사업부</t>
        </is>
      </c>
      <c r="B14" s="11" t="inlineStr">
        <is>
          <t>AC-K-1</t>
        </is>
      </c>
      <c r="C14" s="8" t="n">
        <v>15</v>
      </c>
      <c r="D14" s="77" t="n">
        <v>23</v>
      </c>
      <c r="E14" s="4" t="n">
        <v>25</v>
      </c>
      <c r="F14" s="4" t="n">
        <v>5</v>
      </c>
      <c r="G14" s="4" t="n"/>
      <c r="H14" s="80" t="n"/>
      <c r="I14" s="11" t="n"/>
      <c r="K14" s="8" t="inlineStr">
        <is>
          <t>PA-L-1</t>
        </is>
      </c>
      <c r="L14" s="11" t="inlineStr">
        <is>
          <t>컴활</t>
        </is>
      </c>
      <c r="M14" s="11" t="inlineStr">
        <is>
          <t>2급</t>
        </is>
      </c>
      <c r="N14" s="11" t="inlineStr">
        <is>
          <t>기출</t>
        </is>
      </c>
    </row>
    <row r="15">
      <c r="A15" s="11" t="inlineStr">
        <is>
          <t>행정부</t>
        </is>
      </c>
      <c r="B15" s="11" t="inlineStr">
        <is>
          <t>DM-K-2</t>
        </is>
      </c>
      <c r="C15" s="8" t="n">
        <v>17</v>
      </c>
      <c r="D15" s="77" t="n">
        <v>23</v>
      </c>
      <c r="E15" s="4" t="n">
        <v>30</v>
      </c>
      <c r="F15" s="4" t="n">
        <v>4</v>
      </c>
      <c r="G15" s="4" t="n"/>
      <c r="H15" s="80" t="n"/>
      <c r="I15" s="11" t="n"/>
    </row>
    <row r="16">
      <c r="A16" s="11" t="inlineStr">
        <is>
          <t>교육부</t>
        </is>
      </c>
      <c r="B16" s="11" t="inlineStr">
        <is>
          <t>FA-L-1</t>
        </is>
      </c>
      <c r="C16" s="8" t="n">
        <v>2</v>
      </c>
      <c r="D16" s="77" t="n">
        <v>40</v>
      </c>
      <c r="E16" s="4" t="n">
        <v>26</v>
      </c>
      <c r="F16" s="4" t="n">
        <v>2</v>
      </c>
      <c r="G16" s="4" t="n"/>
      <c r="H16" s="80" t="n"/>
      <c r="I16" s="11" t="n"/>
      <c r="K16" s="1" t="inlineStr">
        <is>
          <t>[표4]</t>
        </is>
      </c>
    </row>
    <row r="17">
      <c r="A17" s="11" t="inlineStr">
        <is>
          <t>행정부</t>
        </is>
      </c>
      <c r="B17" s="11" t="inlineStr">
        <is>
          <t>DM-K-2</t>
        </is>
      </c>
      <c r="C17" s="8" t="n">
        <v>10</v>
      </c>
      <c r="D17" s="77" t="n">
        <v>46</v>
      </c>
      <c r="E17" s="4" t="n">
        <v>22</v>
      </c>
      <c r="F17" s="4" t="n">
        <v>0</v>
      </c>
      <c r="G17" s="4" t="n"/>
      <c r="H17" s="80" t="n"/>
      <c r="I17" s="11" t="n"/>
      <c r="K17" s="6" t="n"/>
      <c r="L17" s="79" t="n">
        <v>1</v>
      </c>
      <c r="M17" s="79" t="n">
        <v>5</v>
      </c>
      <c r="N17" s="79" t="n">
        <v>10</v>
      </c>
      <c r="O17" s="79" t="n">
        <v>15</v>
      </c>
    </row>
    <row r="18">
      <c r="A18" s="11" t="inlineStr">
        <is>
          <t>행정부</t>
        </is>
      </c>
      <c r="B18" s="11" t="inlineStr">
        <is>
          <t>PA-L-1</t>
        </is>
      </c>
      <c r="C18" s="8" t="n">
        <v>5</v>
      </c>
      <c r="D18" s="77" t="n">
        <v>53</v>
      </c>
      <c r="E18" s="4" t="n">
        <v>10</v>
      </c>
      <c r="F18" s="4" t="n">
        <v>3</v>
      </c>
      <c r="G18" s="4" t="n"/>
      <c r="H18" s="80" t="n"/>
      <c r="I18" s="11" t="n"/>
      <c r="K18" s="7" t="n"/>
      <c r="L18" s="82" t="n">
        <v>5</v>
      </c>
      <c r="M18" s="82" t="n">
        <v>10</v>
      </c>
      <c r="N18" s="82" t="n">
        <v>15</v>
      </c>
      <c r="O18" s="82" t="n">
        <v>20</v>
      </c>
    </row>
    <row r="19">
      <c r="A19" s="11" t="inlineStr">
        <is>
          <t>사업부</t>
        </is>
      </c>
      <c r="B19" s="11" t="inlineStr">
        <is>
          <t>PA-L-1</t>
        </is>
      </c>
      <c r="C19" s="8" t="n">
        <v>2</v>
      </c>
      <c r="D19" s="77" t="n">
        <v>29</v>
      </c>
      <c r="E19" s="4" t="n">
        <v>22</v>
      </c>
      <c r="F19" s="4" t="n">
        <v>3</v>
      </c>
      <c r="G19" s="4" t="n"/>
      <c r="H19" s="80" t="n"/>
      <c r="I19" s="11" t="n"/>
      <c r="K19" s="20" t="inlineStr">
        <is>
          <t>AC-K-1</t>
        </is>
      </c>
      <c r="L19" s="83" t="n"/>
      <c r="M19" s="83" t="n"/>
      <c r="N19" s="83" t="n"/>
      <c r="O19" s="83" t="n"/>
    </row>
    <row r="20">
      <c r="A20" s="11" t="inlineStr">
        <is>
          <t>교육부</t>
        </is>
      </c>
      <c r="B20" s="11" t="inlineStr">
        <is>
          <t>PA-L-1</t>
        </is>
      </c>
      <c r="C20" s="8" t="n">
        <v>17</v>
      </c>
      <c r="D20" s="77" t="n">
        <v>37</v>
      </c>
      <c r="E20" s="4" t="n">
        <v>15</v>
      </c>
      <c r="F20" s="4" t="n">
        <v>5</v>
      </c>
      <c r="G20" s="4" t="n"/>
      <c r="H20" s="80" t="n"/>
      <c r="I20" s="11" t="n"/>
      <c r="K20" s="20" t="inlineStr">
        <is>
          <t>DM-K-2</t>
        </is>
      </c>
      <c r="L20" s="83" t="n"/>
      <c r="M20" s="83" t="n"/>
      <c r="N20" s="83" t="n"/>
      <c r="O20" s="83" t="n"/>
    </row>
    <row r="21">
      <c r="A21" s="11" t="inlineStr">
        <is>
          <t>행정부</t>
        </is>
      </c>
      <c r="B21" s="11" t="inlineStr">
        <is>
          <t>DM-K-2</t>
        </is>
      </c>
      <c r="C21" s="8" t="n">
        <v>15</v>
      </c>
      <c r="D21" s="77" t="n">
        <v>46</v>
      </c>
      <c r="E21" s="4" t="n">
        <v>30</v>
      </c>
      <c r="F21" s="4" t="n">
        <v>2</v>
      </c>
      <c r="G21" s="4" t="n"/>
      <c r="H21" s="80" t="n"/>
      <c r="I21" s="11" t="n"/>
      <c r="K21" s="20" t="inlineStr">
        <is>
          <t>FA-L-1</t>
        </is>
      </c>
      <c r="L21" s="83" t="n"/>
      <c r="M21" s="83" t="n"/>
      <c r="N21" s="83" t="n"/>
      <c r="O21" s="83" t="n"/>
    </row>
    <row r="22">
      <c r="A22" s="11" t="inlineStr">
        <is>
          <t>사업부</t>
        </is>
      </c>
      <c r="B22" s="11" t="inlineStr">
        <is>
          <t>FA-L-1</t>
        </is>
      </c>
      <c r="C22" s="8" t="n">
        <v>19</v>
      </c>
      <c r="D22" s="77" t="n">
        <v>51</v>
      </c>
      <c r="E22" s="4" t="n">
        <v>28</v>
      </c>
      <c r="F22" s="4" t="n">
        <v>0</v>
      </c>
      <c r="G22" s="4" t="n"/>
      <c r="H22" s="80" t="n"/>
      <c r="I22" s="11" t="n"/>
      <c r="K22" s="20" t="inlineStr">
        <is>
          <t>PA-L-1</t>
        </is>
      </c>
      <c r="L22" s="83" t="n"/>
      <c r="M22" s="83" t="n"/>
      <c r="N22" s="83" t="n"/>
      <c r="O22" s="83" t="n"/>
    </row>
    <row r="23">
      <c r="A23" s="11" t="inlineStr">
        <is>
          <t>교육부</t>
        </is>
      </c>
      <c r="B23" s="11" t="inlineStr">
        <is>
          <t>AC-K-1</t>
        </is>
      </c>
      <c r="C23" s="8" t="n">
        <v>14</v>
      </c>
      <c r="D23" s="77" t="n">
        <v>24</v>
      </c>
      <c r="E23" s="4" t="n">
        <v>21</v>
      </c>
      <c r="F23" s="4" t="n">
        <v>1</v>
      </c>
      <c r="G23" s="4" t="n"/>
      <c r="H23" s="80" t="n"/>
      <c r="I23" s="11" t="n"/>
    </row>
    <row r="24">
      <c r="A24" s="11" t="inlineStr">
        <is>
          <t>교육부</t>
        </is>
      </c>
      <c r="B24" s="11" t="inlineStr">
        <is>
          <t>AC-K-1</t>
        </is>
      </c>
      <c r="C24" s="8" t="n">
        <v>6</v>
      </c>
      <c r="D24" s="77" t="n">
        <v>56</v>
      </c>
      <c r="E24" s="4" t="n">
        <v>18</v>
      </c>
      <c r="F24" s="4" t="n">
        <v>5</v>
      </c>
      <c r="G24" s="4" t="n"/>
      <c r="H24" s="80" t="n"/>
      <c r="I24" s="11" t="n"/>
      <c r="K24" s="1" t="inlineStr">
        <is>
          <t>[표5]</t>
        </is>
      </c>
    </row>
    <row r="25">
      <c r="A25" s="11" t="inlineStr">
        <is>
          <t>행정부</t>
        </is>
      </c>
      <c r="B25" s="11" t="inlineStr">
        <is>
          <t>FA-L-1</t>
        </is>
      </c>
      <c r="C25" s="8" t="n">
        <v>6</v>
      </c>
      <c r="D25" s="77" t="n">
        <v>59</v>
      </c>
      <c r="E25" s="4" t="n">
        <v>13</v>
      </c>
      <c r="F25" s="4" t="n">
        <v>0</v>
      </c>
      <c r="G25" s="4" t="n"/>
      <c r="H25" s="80" t="n"/>
      <c r="I25" s="11" t="n"/>
      <c r="K25" s="11" t="inlineStr">
        <is>
          <t>연령</t>
        </is>
      </c>
      <c r="L25" s="84" t="n"/>
      <c r="M25" s="13" t="inlineStr">
        <is>
          <t>연령대별 인원 수</t>
        </is>
      </c>
    </row>
    <row r="26">
      <c r="A26" s="11" t="inlineStr">
        <is>
          <t>사업부</t>
        </is>
      </c>
      <c r="B26" s="11" t="inlineStr">
        <is>
          <t>AC-K-1</t>
        </is>
      </c>
      <c r="C26" s="8" t="n">
        <v>17</v>
      </c>
      <c r="D26" s="77" t="n">
        <v>53</v>
      </c>
      <c r="E26" s="4" t="n">
        <v>19</v>
      </c>
      <c r="F26" s="4" t="n">
        <v>5</v>
      </c>
      <c r="G26" s="4" t="n"/>
      <c r="H26" s="80" t="n"/>
      <c r="I26" s="11" t="n"/>
      <c r="K26" s="85" t="n">
        <v>20</v>
      </c>
      <c r="L26" s="86" t="n">
        <v>30</v>
      </c>
      <c r="M26" s="11" t="n"/>
    </row>
    <row r="27">
      <c r="A27" s="11" t="inlineStr">
        <is>
          <t>행정부</t>
        </is>
      </c>
      <c r="B27" s="11" t="inlineStr">
        <is>
          <t>FA-L-1</t>
        </is>
      </c>
      <c r="C27" s="8" t="n">
        <v>5</v>
      </c>
      <c r="D27" s="77" t="n">
        <v>48</v>
      </c>
      <c r="E27" s="4" t="n">
        <v>19</v>
      </c>
      <c r="F27" s="4" t="n">
        <v>3</v>
      </c>
      <c r="G27" s="4" t="n"/>
      <c r="H27" s="80" t="n"/>
      <c r="I27" s="11" t="n"/>
      <c r="K27" s="85" t="n">
        <v>30</v>
      </c>
      <c r="L27" s="86" t="n">
        <v>40</v>
      </c>
      <c r="M27" s="11" t="n"/>
    </row>
    <row r="28">
      <c r="A28" s="11" t="inlineStr">
        <is>
          <t>행정부</t>
        </is>
      </c>
      <c r="B28" s="11" t="inlineStr">
        <is>
          <t>AC-K-1</t>
        </is>
      </c>
      <c r="C28" s="8" t="n">
        <v>20</v>
      </c>
      <c r="D28" s="77" t="n">
        <v>55</v>
      </c>
      <c r="E28" s="4" t="n">
        <v>16</v>
      </c>
      <c r="F28" s="4" t="n">
        <v>4</v>
      </c>
      <c r="G28" s="4" t="n"/>
      <c r="H28" s="80" t="n"/>
      <c r="I28" s="11" t="n"/>
      <c r="K28" s="85" t="n">
        <v>40</v>
      </c>
      <c r="L28" s="86" t="n">
        <v>50</v>
      </c>
      <c r="M28" s="11" t="n"/>
    </row>
    <row r="29">
      <c r="A29" s="11" t="inlineStr">
        <is>
          <t>사업부</t>
        </is>
      </c>
      <c r="B29" s="11" t="inlineStr">
        <is>
          <t>DM-K-2</t>
        </is>
      </c>
      <c r="C29" s="8" t="n">
        <v>20</v>
      </c>
      <c r="D29" s="77" t="n">
        <v>45</v>
      </c>
      <c r="E29" s="4" t="n">
        <v>18</v>
      </c>
      <c r="F29" s="4" t="n">
        <v>2</v>
      </c>
      <c r="G29" s="4" t="n"/>
      <c r="H29" s="80" t="n"/>
      <c r="I29" s="11" t="n"/>
      <c r="K29" s="85" t="n">
        <v>50</v>
      </c>
      <c r="L29" s="86" t="n">
        <v>60</v>
      </c>
      <c r="M29" s="11" t="n"/>
    </row>
    <row r="30">
      <c r="A30" s="11" t="inlineStr">
        <is>
          <t>교육부</t>
        </is>
      </c>
      <c r="B30" s="11" t="inlineStr">
        <is>
          <t>PA-L-1</t>
        </is>
      </c>
      <c r="C30" s="8" t="n">
        <v>14</v>
      </c>
      <c r="D30" s="77" t="n">
        <v>55</v>
      </c>
      <c r="E30" s="4" t="n">
        <v>12</v>
      </c>
      <c r="F30" s="4" t="n">
        <v>3</v>
      </c>
      <c r="G30" s="4" t="n"/>
      <c r="H30" s="80" t="n"/>
      <c r="I30" s="11" t="n"/>
    </row>
  </sheetData>
  <mergeCells count="2">
    <mergeCell ref="K2:K3"/>
    <mergeCell ref="K25:L2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7">
    <outlinePr summaryBelow="1" summaryRight="1"/>
    <pageSetUpPr/>
  </sheetPr>
  <dimension ref="A1:A1"/>
  <sheetViews>
    <sheetView zoomScale="130" zoomScaleNormal="130" workbookViewId="0">
      <selection activeCell="B2" sqref="B2"/>
    </sheetView>
  </sheetViews>
  <sheetFormatPr baseColWidth="8" defaultRowHeight="19.2"/>
  <cols>
    <col width="7.1796875" customWidth="1" style="70" min="1" max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9">
    <outlinePr summaryBelow="1" summaryRight="1"/>
    <pageSetUpPr/>
  </sheetPr>
  <dimension ref="B2:E16"/>
  <sheetViews>
    <sheetView zoomScale="145" zoomScaleNormal="145" workbookViewId="0">
      <selection activeCell="C2" sqref="C2"/>
    </sheetView>
  </sheetViews>
  <sheetFormatPr baseColWidth="8" defaultRowHeight="19.2"/>
  <cols>
    <col width="6.36328125" customWidth="1" style="70" min="1" max="1"/>
  </cols>
  <sheetData>
    <row r="2">
      <c r="B2" s="13" t="inlineStr">
        <is>
          <t>사용자명</t>
        </is>
      </c>
      <c r="C2" s="13" t="inlineStr">
        <is>
          <t>구분</t>
        </is>
      </c>
      <c r="D2" s="13" t="inlineStr">
        <is>
          <t>사용량</t>
        </is>
      </c>
      <c r="E2" s="13" t="inlineStr">
        <is>
          <t>수도요금</t>
        </is>
      </c>
    </row>
    <row r="3">
      <c r="B3" s="69" t="inlineStr">
        <is>
          <t>곽도윤</t>
        </is>
      </c>
      <c r="C3" s="69" t="inlineStr">
        <is>
          <t>101동</t>
        </is>
      </c>
      <c r="D3" s="69" t="n">
        <v>50</v>
      </c>
      <c r="E3" s="87">
        <f>D3*890</f>
        <v/>
      </c>
    </row>
    <row r="4">
      <c r="B4" s="69" t="inlineStr">
        <is>
          <t>권아름</t>
        </is>
      </c>
      <c r="C4" s="69" t="inlineStr">
        <is>
          <t>104동</t>
        </is>
      </c>
      <c r="D4" s="69" t="n">
        <v>21</v>
      </c>
      <c r="E4" s="87">
        <f>D4*890</f>
        <v/>
      </c>
    </row>
    <row r="5">
      <c r="B5" s="69" t="inlineStr">
        <is>
          <t>김지영</t>
        </is>
      </c>
      <c r="C5" s="69" t="inlineStr">
        <is>
          <t>102동</t>
        </is>
      </c>
      <c r="D5" s="69" t="n">
        <v>19</v>
      </c>
      <c r="E5" s="87">
        <f>D5*890</f>
        <v/>
      </c>
    </row>
    <row r="6">
      <c r="B6" s="69" t="inlineStr">
        <is>
          <t>김수현</t>
        </is>
      </c>
      <c r="C6" s="69" t="inlineStr">
        <is>
          <t>201동</t>
        </is>
      </c>
      <c r="D6" s="69" t="n">
        <v>45</v>
      </c>
      <c r="E6" s="87">
        <f>D6*890</f>
        <v/>
      </c>
    </row>
    <row r="7">
      <c r="B7" s="69" t="inlineStr">
        <is>
          <t>오은정</t>
        </is>
      </c>
      <c r="C7" s="69" t="inlineStr">
        <is>
          <t>101동</t>
        </is>
      </c>
      <c r="D7" s="69" t="n">
        <v>37</v>
      </c>
      <c r="E7" s="87">
        <f>D7*890</f>
        <v/>
      </c>
    </row>
    <row r="8">
      <c r="B8" s="69" t="inlineStr">
        <is>
          <t>이후동</t>
        </is>
      </c>
      <c r="C8" s="69" t="inlineStr">
        <is>
          <t>201동</t>
        </is>
      </c>
      <c r="D8" s="69" t="n">
        <v>24</v>
      </c>
      <c r="E8" s="87">
        <f>D8*890</f>
        <v/>
      </c>
    </row>
    <row r="9">
      <c r="B9" s="69" t="inlineStr">
        <is>
          <t>최윤지</t>
        </is>
      </c>
      <c r="C9" s="69" t="inlineStr">
        <is>
          <t>202동</t>
        </is>
      </c>
      <c r="D9" s="69" t="n">
        <v>12</v>
      </c>
      <c r="E9" s="87">
        <f>D9*890</f>
        <v/>
      </c>
    </row>
    <row r="10">
      <c r="B10" s="69" t="inlineStr">
        <is>
          <t>최은수</t>
        </is>
      </c>
      <c r="C10" s="69" t="inlineStr">
        <is>
          <t>201동</t>
        </is>
      </c>
      <c r="D10" s="69" t="n">
        <v>21</v>
      </c>
      <c r="E10" s="87">
        <f>D10*890</f>
        <v/>
      </c>
    </row>
    <row r="11">
      <c r="B11" s="69" t="inlineStr">
        <is>
          <t>김희라</t>
        </is>
      </c>
      <c r="C11" s="69" t="inlineStr">
        <is>
          <t>101동</t>
        </is>
      </c>
      <c r="D11" s="69" t="n">
        <v>43</v>
      </c>
      <c r="E11" s="87">
        <f>D11*890</f>
        <v/>
      </c>
    </row>
    <row r="12">
      <c r="B12" s="69" t="inlineStr">
        <is>
          <t>이현지</t>
        </is>
      </c>
      <c r="C12" s="69" t="inlineStr">
        <is>
          <t>201동</t>
        </is>
      </c>
      <c r="D12" s="69" t="n">
        <v>25</v>
      </c>
      <c r="E12" s="87">
        <f>D12*890</f>
        <v/>
      </c>
    </row>
    <row r="13">
      <c r="B13" s="69" t="inlineStr">
        <is>
          <t>김은수</t>
        </is>
      </c>
      <c r="C13" s="69" t="inlineStr">
        <is>
          <t>102동</t>
        </is>
      </c>
      <c r="D13" s="69" t="n">
        <v>46</v>
      </c>
      <c r="E13" s="87">
        <f>D13*890</f>
        <v/>
      </c>
    </row>
    <row r="14">
      <c r="B14" s="69" t="inlineStr">
        <is>
          <t>최이현</t>
        </is>
      </c>
      <c r="C14" s="69" t="inlineStr">
        <is>
          <t>103동</t>
        </is>
      </c>
      <c r="D14" s="69" t="n">
        <v>47</v>
      </c>
      <c r="E14" s="87">
        <f>D14*890</f>
        <v/>
      </c>
    </row>
    <row r="15">
      <c r="B15" s="69" t="inlineStr">
        <is>
          <t>김정훈</t>
        </is>
      </c>
      <c r="C15" s="69" t="inlineStr">
        <is>
          <t>202동</t>
        </is>
      </c>
      <c r="D15" s="69" t="n">
        <v>25</v>
      </c>
      <c r="E15" s="87">
        <f>D15*890</f>
        <v/>
      </c>
    </row>
    <row r="16">
      <c r="B16" s="69" t="inlineStr">
        <is>
          <t>박정호</t>
        </is>
      </c>
      <c r="C16" s="69" t="inlineStr">
        <is>
          <t>104동</t>
        </is>
      </c>
      <c r="D16" s="69" t="n">
        <v>24</v>
      </c>
      <c r="E16" s="87">
        <f>D16*890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1">
    <outlinePr summaryBelow="1" summaryRight="1"/>
    <pageSetUpPr/>
  </sheetPr>
  <dimension ref="B1:H7"/>
  <sheetViews>
    <sheetView zoomScale="115" zoomScaleNormal="115" workbookViewId="0">
      <selection activeCell="J10" sqref="J10"/>
    </sheetView>
  </sheetViews>
  <sheetFormatPr baseColWidth="8" defaultRowHeight="19.2"/>
  <sheetData>
    <row r="1">
      <c r="B1" s="69" t="inlineStr">
        <is>
          <t>반 평균</t>
        </is>
      </c>
      <c r="C1" s="88" t="n"/>
      <c r="D1" s="88" t="n"/>
      <c r="E1" s="88" t="n"/>
      <c r="F1" s="88" t="n"/>
      <c r="G1" s="88" t="n"/>
      <c r="H1" s="84" t="n"/>
    </row>
    <row r="2">
      <c r="B2" s="69" t="n"/>
      <c r="C2" s="69" t="inlineStr">
        <is>
          <t>모의1</t>
        </is>
      </c>
      <c r="D2" s="69" t="inlineStr">
        <is>
          <t>모의2</t>
        </is>
      </c>
      <c r="E2" s="69" t="inlineStr">
        <is>
          <t>모의3</t>
        </is>
      </c>
      <c r="F2" s="69" t="inlineStr">
        <is>
          <t>중간</t>
        </is>
      </c>
      <c r="G2" s="69" t="inlineStr">
        <is>
          <t>기말</t>
        </is>
      </c>
      <c r="H2" s="69" t="inlineStr">
        <is>
          <t>수행</t>
        </is>
      </c>
    </row>
    <row r="3">
      <c r="B3" s="69" t="inlineStr">
        <is>
          <t>1반</t>
        </is>
      </c>
      <c r="C3" s="69" t="n">
        <v>97</v>
      </c>
      <c r="D3" s="69" t="n">
        <v>82</v>
      </c>
      <c r="E3" s="69" t="n">
        <v>81</v>
      </c>
      <c r="F3" s="69" t="n">
        <v>78</v>
      </c>
      <c r="G3" s="69" t="n">
        <v>87</v>
      </c>
      <c r="H3" s="69" t="n">
        <v>86</v>
      </c>
    </row>
    <row r="4">
      <c r="B4" s="69" t="inlineStr">
        <is>
          <t>2반</t>
        </is>
      </c>
      <c r="C4" s="69" t="n">
        <v>63</v>
      </c>
      <c r="D4" s="69" t="n">
        <v>69</v>
      </c>
      <c r="E4" s="69" t="n">
        <v>63</v>
      </c>
      <c r="F4" s="69" t="n">
        <v>89</v>
      </c>
      <c r="G4" s="69" t="n">
        <v>66</v>
      </c>
      <c r="H4" s="69" t="n">
        <v>70</v>
      </c>
    </row>
    <row r="5">
      <c r="B5" s="69" t="inlineStr">
        <is>
          <t>3반</t>
        </is>
      </c>
      <c r="C5" s="69" t="n">
        <v>66</v>
      </c>
      <c r="D5" s="69" t="n">
        <v>81</v>
      </c>
      <c r="E5" s="69" t="n">
        <v>92</v>
      </c>
      <c r="F5" s="69" t="n">
        <v>61</v>
      </c>
      <c r="G5" s="69" t="n">
        <v>96</v>
      </c>
      <c r="H5" s="69" t="n">
        <v>80</v>
      </c>
    </row>
    <row r="6">
      <c r="B6" s="69" t="inlineStr">
        <is>
          <t>4반</t>
        </is>
      </c>
      <c r="C6" s="69" t="n">
        <v>97</v>
      </c>
      <c r="D6" s="69" t="n">
        <v>70</v>
      </c>
      <c r="E6" s="69" t="n">
        <v>60</v>
      </c>
      <c r="F6" s="69" t="n">
        <v>61</v>
      </c>
      <c r="G6" s="69" t="n">
        <v>98</v>
      </c>
      <c r="H6" s="69" t="n">
        <v>88</v>
      </c>
    </row>
    <row r="7">
      <c r="B7" s="69" t="inlineStr">
        <is>
          <t>5반</t>
        </is>
      </c>
      <c r="C7" s="69" t="n">
        <v>63</v>
      </c>
      <c r="D7" s="69" t="n">
        <v>70</v>
      </c>
      <c r="E7" s="69" t="n">
        <v>99</v>
      </c>
      <c r="F7" s="69" t="n">
        <v>95</v>
      </c>
      <c r="G7" s="69" t="n">
        <v>100</v>
      </c>
      <c r="H7" s="69" t="n">
        <v>94</v>
      </c>
    </row>
  </sheetData>
  <mergeCells count="1">
    <mergeCell ref="B1:H1"/>
  </mergeCells>
  <pageMargins left="0.7" right="0.7" top="0.75" bottom="0.75" header="0.3" footer="0.3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13">
    <outlinePr summaryBelow="1" summaryRight="1"/>
    <pageSetUpPr/>
  </sheetPr>
  <dimension ref="B2:J32"/>
  <sheetViews>
    <sheetView zoomScale="85" zoomScaleNormal="85" workbookViewId="0">
      <selection activeCell="D8" sqref="D8"/>
    </sheetView>
  </sheetViews>
  <sheetFormatPr baseColWidth="8" defaultRowHeight="19.2"/>
  <cols>
    <col width="10.81640625" bestFit="1" customWidth="1" style="70" min="2" max="3"/>
    <col width="12.81640625" customWidth="1" style="38" min="4" max="5"/>
    <col width="7.90625" customWidth="1" style="70" min="6" max="6"/>
    <col width="14.81640625" bestFit="1" customWidth="1" style="70" min="7" max="7"/>
    <col width="6.81640625" bestFit="1" customWidth="1" style="70" min="8" max="8"/>
    <col width="10.81640625" bestFit="1" customWidth="1" style="40" min="9" max="9"/>
    <col width="8.81640625" bestFit="1" customWidth="1" style="39" min="10" max="10"/>
  </cols>
  <sheetData>
    <row r="2">
      <c r="B2" s="13" t="inlineStr">
        <is>
          <t>일련번호</t>
        </is>
      </c>
      <c r="C2" s="13" t="inlineStr">
        <is>
          <t>상품코드</t>
        </is>
      </c>
      <c r="D2" s="46" t="inlineStr">
        <is>
          <t>입고날짜</t>
        </is>
      </c>
      <c r="E2" s="46" t="inlineStr">
        <is>
          <t>출고날짜</t>
        </is>
      </c>
      <c r="F2" s="13" t="inlineStr">
        <is>
          <t>구분</t>
        </is>
      </c>
      <c r="G2" s="13" t="inlineStr">
        <is>
          <t>상품명</t>
        </is>
      </c>
      <c r="H2" s="13" t="inlineStr">
        <is>
          <t>수량</t>
        </is>
      </c>
      <c r="I2" s="50" t="inlineStr">
        <is>
          <t>판매가격</t>
        </is>
      </c>
      <c r="J2" s="48" t="inlineStr">
        <is>
          <t>할인율</t>
        </is>
      </c>
    </row>
    <row r="3">
      <c r="B3" s="69" t="n">
        <v>1</v>
      </c>
      <c r="C3" s="69" t="n">
        <v>7848174</v>
      </c>
      <c r="D3" s="47" t="n">
        <v>45054</v>
      </c>
      <c r="E3" s="47" t="n">
        <v>45089</v>
      </c>
      <c r="F3" s="69" t="inlineStr">
        <is>
          <t>카드</t>
        </is>
      </c>
      <c r="G3" s="69" t="inlineStr">
        <is>
          <t>민트블렌드</t>
        </is>
      </c>
      <c r="H3" s="69" t="n">
        <v>392</v>
      </c>
      <c r="I3" s="51" t="n">
        <v>6791400</v>
      </c>
      <c r="J3" s="49" t="n">
        <v>0.01</v>
      </c>
    </row>
    <row r="4">
      <c r="B4" s="69" t="n">
        <v>2</v>
      </c>
      <c r="C4" s="69" t="n">
        <v>6027555</v>
      </c>
      <c r="D4" s="47" t="n">
        <v>45084</v>
      </c>
      <c r="E4" s="47" t="n">
        <v>45119</v>
      </c>
      <c r="F4" s="69" t="inlineStr">
        <is>
          <t>현금</t>
        </is>
      </c>
      <c r="G4" s="69" t="inlineStr">
        <is>
          <t>루이보스</t>
        </is>
      </c>
      <c r="H4" s="69" t="n">
        <v>136</v>
      </c>
      <c r="I4" s="51" t="n">
        <v>0</v>
      </c>
      <c r="J4" s="49" t="n">
        <v>0.04</v>
      </c>
    </row>
    <row r="5">
      <c r="B5" s="69" t="n">
        <v>3</v>
      </c>
      <c r="C5" s="69" t="n">
        <v>7759234</v>
      </c>
      <c r="D5" s="47" t="n">
        <v>45025</v>
      </c>
      <c r="E5" s="47" t="n">
        <v>45060</v>
      </c>
      <c r="F5" s="69" t="inlineStr">
        <is>
          <t>포인트</t>
        </is>
      </c>
      <c r="G5" s="69" t="inlineStr">
        <is>
          <t>크림카라멜</t>
        </is>
      </c>
      <c r="H5" s="69" t="n">
        <v>485</v>
      </c>
      <c r="I5" s="51" t="n">
        <v>8232900</v>
      </c>
      <c r="J5" s="49" t="n">
        <v>0.03</v>
      </c>
    </row>
    <row r="6">
      <c r="B6" s="69" t="n">
        <v>4</v>
      </c>
      <c r="C6" s="69" t="n">
        <v>6451660</v>
      </c>
      <c r="D6" s="47" t="n">
        <v>45055</v>
      </c>
      <c r="E6" s="47" t="n">
        <v>45090</v>
      </c>
      <c r="F6" s="69" t="inlineStr">
        <is>
          <t>카드</t>
        </is>
      </c>
      <c r="G6" s="69" t="inlineStr">
        <is>
          <t>1837블랙티</t>
        </is>
      </c>
      <c r="H6" s="69" t="n">
        <v>133</v>
      </c>
      <c r="I6" s="51" t="n">
        <v>1</v>
      </c>
      <c r="J6" s="49" t="n">
        <v>0.06</v>
      </c>
    </row>
    <row r="7">
      <c r="B7" s="69" t="n">
        <v>5</v>
      </c>
      <c r="C7" s="69" t="n">
        <v>7857198</v>
      </c>
      <c r="D7" s="47" t="n">
        <v>44966</v>
      </c>
      <c r="E7" s="47" t="n">
        <v>45001</v>
      </c>
      <c r="F7" s="69" t="inlineStr">
        <is>
          <t>현금</t>
        </is>
      </c>
      <c r="G7" s="69" t="inlineStr">
        <is>
          <t>실버문티</t>
        </is>
      </c>
      <c r="H7" s="69" t="n">
        <v>977</v>
      </c>
      <c r="I7" s="51" t="n">
        <v>16926600</v>
      </c>
      <c r="J7" s="49" t="n">
        <v>0.01</v>
      </c>
    </row>
    <row r="8">
      <c r="B8" s="69" t="n">
        <v>6</v>
      </c>
      <c r="C8" s="69" t="n">
        <v>6409179</v>
      </c>
      <c r="D8" s="47" t="n">
        <v>45061</v>
      </c>
      <c r="E8" s="47" t="n">
        <v>45096</v>
      </c>
      <c r="F8" s="69" t="inlineStr">
        <is>
          <t>현금</t>
        </is>
      </c>
      <c r="G8" s="69" t="inlineStr">
        <is>
          <t>핑크플라밍고티</t>
        </is>
      </c>
      <c r="H8" s="69" t="n">
        <v>201</v>
      </c>
      <c r="I8" s="51" t="n">
        <v>3306500</v>
      </c>
      <c r="J8" s="49" t="n">
        <v>0.06</v>
      </c>
    </row>
    <row r="9">
      <c r="B9" s="69" t="n">
        <v>7</v>
      </c>
      <c r="C9" s="69" t="n">
        <v>4589564</v>
      </c>
      <c r="D9" s="47" t="n">
        <v>45246</v>
      </c>
      <c r="E9" s="47" t="n">
        <v>45281</v>
      </c>
      <c r="F9" s="69" t="inlineStr">
        <is>
          <t>포인트</t>
        </is>
      </c>
      <c r="G9" s="69" t="inlineStr">
        <is>
          <t>윈터팰리스티</t>
        </is>
      </c>
      <c r="H9" s="69" t="n">
        <v>230</v>
      </c>
      <c r="I9" s="51" t="n">
        <v>0</v>
      </c>
      <c r="J9" s="49" t="n">
        <v>0.04</v>
      </c>
    </row>
    <row r="10">
      <c r="B10" s="69" t="n">
        <v>8</v>
      </c>
      <c r="C10" s="69" t="n">
        <v>5482774</v>
      </c>
      <c r="D10" s="47" t="n">
        <v>45275</v>
      </c>
      <c r="E10" s="47" t="n">
        <v>45310</v>
      </c>
      <c r="F10" s="69" t="inlineStr">
        <is>
          <t>카드</t>
        </is>
      </c>
      <c r="G10" s="69" t="inlineStr">
        <is>
          <t>블랙파고다티</t>
        </is>
      </c>
      <c r="H10" s="69" t="n">
        <v>958</v>
      </c>
      <c r="I10" s="51" t="n">
        <v>15591500</v>
      </c>
      <c r="J10" s="49" t="n">
        <v>0.07000000000000001</v>
      </c>
    </row>
    <row r="11">
      <c r="B11" s="69" t="n">
        <v>9</v>
      </c>
      <c r="C11" s="69" t="n">
        <v>7682944</v>
      </c>
      <c r="D11" s="47" t="n">
        <v>45185</v>
      </c>
      <c r="E11" s="47" t="n">
        <v>45220</v>
      </c>
      <c r="F11" s="69" t="inlineStr">
        <is>
          <t>현금</t>
        </is>
      </c>
      <c r="G11" s="69" t="inlineStr">
        <is>
          <t>에스닉쥬얼티</t>
        </is>
      </c>
      <c r="H11" s="69" t="n">
        <v>693</v>
      </c>
      <c r="I11" s="51" t="n">
        <v>11278600</v>
      </c>
      <c r="J11" s="49" t="n">
        <v>0.07000000000000001</v>
      </c>
    </row>
    <row r="12">
      <c r="B12" s="69" t="n">
        <v>10</v>
      </c>
      <c r="C12" s="69" t="n">
        <v>7989965</v>
      </c>
      <c r="D12" s="47" t="n">
        <v>45249</v>
      </c>
      <c r="E12" s="47" t="n">
        <v>45284</v>
      </c>
      <c r="F12" s="69" t="inlineStr">
        <is>
          <t>포인트</t>
        </is>
      </c>
      <c r="G12" s="69" t="inlineStr">
        <is>
          <t>민트블렌드</t>
        </is>
      </c>
      <c r="H12" s="69" t="n">
        <v>498</v>
      </c>
      <c r="I12" s="51" t="n">
        <v>8279300</v>
      </c>
      <c r="J12" s="49" t="n">
        <v>0.05</v>
      </c>
    </row>
    <row r="13">
      <c r="B13" s="69" t="n">
        <v>11</v>
      </c>
      <c r="C13" s="69" t="n">
        <v>6892172</v>
      </c>
      <c r="D13" s="47" t="n">
        <v>45112</v>
      </c>
      <c r="E13" s="47" t="n">
        <v>45147</v>
      </c>
      <c r="F13" s="69" t="inlineStr">
        <is>
          <t>카드</t>
        </is>
      </c>
      <c r="G13" s="69" t="inlineStr">
        <is>
          <t>민트블렌드</t>
        </is>
      </c>
      <c r="H13" s="69" t="n">
        <v>792</v>
      </c>
      <c r="I13" s="51" t="n">
        <v>0</v>
      </c>
      <c r="J13" s="49" t="n">
        <v>0.03</v>
      </c>
    </row>
    <row r="14">
      <c r="B14" s="69" t="n">
        <v>12</v>
      </c>
      <c r="C14" s="69" t="n">
        <v>4883476</v>
      </c>
      <c r="D14" s="47" t="n">
        <v>45018</v>
      </c>
      <c r="E14" s="47" t="n">
        <v>45053</v>
      </c>
      <c r="F14" s="69" t="inlineStr">
        <is>
          <t>현금</t>
        </is>
      </c>
      <c r="G14" s="69" t="inlineStr">
        <is>
          <t>루이보스</t>
        </is>
      </c>
      <c r="H14" s="69" t="n">
        <v>982</v>
      </c>
      <c r="I14" s="51" t="n">
        <v>16841300</v>
      </c>
      <c r="J14" s="49" t="n">
        <v>0.02</v>
      </c>
    </row>
    <row r="15">
      <c r="B15" s="69" t="n">
        <v>13</v>
      </c>
      <c r="C15" s="69" t="n">
        <v>6844146</v>
      </c>
      <c r="D15" s="47" t="n">
        <v>45031</v>
      </c>
      <c r="E15" s="47" t="n">
        <v>45066</v>
      </c>
      <c r="F15" s="69" t="inlineStr">
        <is>
          <t>포인트</t>
        </is>
      </c>
      <c r="G15" s="69" t="inlineStr">
        <is>
          <t>크림카라멜</t>
        </is>
      </c>
      <c r="H15" s="69" t="n">
        <v>974</v>
      </c>
      <c r="I15" s="51" t="n">
        <v>15681400</v>
      </c>
      <c r="J15" s="49" t="n">
        <v>0.08</v>
      </c>
    </row>
    <row r="16">
      <c r="B16" s="69" t="n">
        <v>14</v>
      </c>
      <c r="C16" s="69" t="n">
        <v>9317279</v>
      </c>
      <c r="D16" s="47" t="n">
        <v>45000</v>
      </c>
      <c r="E16" s="47" t="n">
        <v>45035</v>
      </c>
      <c r="F16" s="69" t="inlineStr">
        <is>
          <t>카드</t>
        </is>
      </c>
      <c r="G16" s="69" t="inlineStr">
        <is>
          <t>1837블랙티</t>
        </is>
      </c>
      <c r="H16" s="69" t="n">
        <v>589</v>
      </c>
      <c r="I16" s="51" t="n">
        <v>9379900</v>
      </c>
      <c r="J16" s="49" t="n">
        <v>0.09</v>
      </c>
    </row>
    <row r="17">
      <c r="B17" s="69" t="n">
        <v>15</v>
      </c>
      <c r="C17" s="69" t="n">
        <v>6455991</v>
      </c>
      <c r="D17" s="47" t="n">
        <v>45004</v>
      </c>
      <c r="E17" s="47" t="n">
        <v>45039</v>
      </c>
      <c r="F17" s="69" t="inlineStr">
        <is>
          <t>현금</t>
        </is>
      </c>
      <c r="G17" s="69" t="inlineStr">
        <is>
          <t>1837블랙티</t>
        </is>
      </c>
      <c r="H17" s="69" t="n">
        <v>905</v>
      </c>
      <c r="I17" s="51" t="n">
        <v>0</v>
      </c>
      <c r="J17" s="49" t="n">
        <v>0.09</v>
      </c>
    </row>
    <row r="18">
      <c r="B18" s="69" t="n">
        <v>16</v>
      </c>
      <c r="C18" s="69" t="n">
        <v>6823181</v>
      </c>
      <c r="D18" s="47" t="n">
        <v>45092</v>
      </c>
      <c r="E18" s="47" t="n">
        <v>45127</v>
      </c>
      <c r="F18" s="69" t="inlineStr">
        <is>
          <t>포인트</t>
        </is>
      </c>
      <c r="G18" s="69" t="inlineStr">
        <is>
          <t>실버문티</t>
        </is>
      </c>
      <c r="H18" s="69" t="n">
        <v>429</v>
      </c>
      <c r="I18" s="51" t="n">
        <v>6982000</v>
      </c>
      <c r="J18" s="49" t="n">
        <v>0.07000000000000001</v>
      </c>
    </row>
    <row r="19">
      <c r="B19" s="69" t="n">
        <v>17</v>
      </c>
      <c r="C19" s="69" t="n">
        <v>5209764</v>
      </c>
      <c r="D19" s="47" t="n">
        <v>45125</v>
      </c>
      <c r="E19" s="47" t="n">
        <v>45160</v>
      </c>
      <c r="F19" s="69" t="inlineStr">
        <is>
          <t>포인트</t>
        </is>
      </c>
      <c r="G19" s="69" t="inlineStr">
        <is>
          <t>핑크플라밍고티</t>
        </is>
      </c>
      <c r="H19" s="69" t="n">
        <v>374</v>
      </c>
      <c r="I19" s="51" t="n">
        <v>6086900</v>
      </c>
      <c r="J19" s="49" t="n">
        <v>0.07000000000000001</v>
      </c>
    </row>
    <row r="20">
      <c r="B20" s="69" t="n">
        <v>18</v>
      </c>
      <c r="C20" s="69" t="n">
        <v>6914295</v>
      </c>
      <c r="D20" s="47" t="n">
        <v>45210</v>
      </c>
      <c r="E20" s="47" t="n">
        <v>45245</v>
      </c>
      <c r="F20" s="69" t="inlineStr">
        <is>
          <t>현금</t>
        </is>
      </c>
      <c r="G20" s="69" t="inlineStr">
        <is>
          <t>핑크플라밍고티</t>
        </is>
      </c>
      <c r="H20" s="69" t="n">
        <v>918</v>
      </c>
      <c r="I20" s="51" t="n">
        <v>14940500</v>
      </c>
      <c r="J20" s="49" t="n">
        <v>0.07000000000000001</v>
      </c>
    </row>
    <row r="21">
      <c r="B21" s="69" t="n">
        <v>19</v>
      </c>
      <c r="C21" s="69" t="n">
        <v>4717549</v>
      </c>
      <c r="D21" s="47" t="n">
        <v>45207</v>
      </c>
      <c r="E21" s="47" t="n">
        <v>45242</v>
      </c>
      <c r="F21" s="69" t="inlineStr">
        <is>
          <t>이체</t>
        </is>
      </c>
      <c r="G21" s="69" t="inlineStr">
        <is>
          <t>윈터팰리스티</t>
        </is>
      </c>
      <c r="H21" s="69" t="n">
        <v>959</v>
      </c>
      <c r="I21" s="51" t="n">
        <v>1</v>
      </c>
      <c r="J21" s="49" t="n">
        <v>0.04</v>
      </c>
    </row>
    <row r="22">
      <c r="B22" s="69" t="n">
        <v>20</v>
      </c>
      <c r="C22" s="69" t="n">
        <v>5935782</v>
      </c>
      <c r="D22" s="47" t="n">
        <v>45222</v>
      </c>
      <c r="E22" s="47" t="n">
        <v>45257</v>
      </c>
      <c r="F22" s="69" t="inlineStr">
        <is>
          <t>이체</t>
        </is>
      </c>
      <c r="G22" s="69" t="inlineStr">
        <is>
          <t>블랙파고다티</t>
        </is>
      </c>
      <c r="H22" s="69" t="n">
        <v>337</v>
      </c>
      <c r="I22" s="51" t="n">
        <v>5543700</v>
      </c>
      <c r="J22" s="49" t="n">
        <v>0.06</v>
      </c>
    </row>
    <row r="23">
      <c r="B23" s="69" t="n">
        <v>21</v>
      </c>
      <c r="C23" s="69" t="n">
        <v>9581880</v>
      </c>
      <c r="D23" s="47" t="n">
        <v>45128</v>
      </c>
      <c r="E23" s="47" t="n">
        <v>45163</v>
      </c>
      <c r="F23" s="69" t="inlineStr">
        <is>
          <t>이체</t>
        </is>
      </c>
      <c r="G23" s="69" t="inlineStr">
        <is>
          <t>에스닉쥬얼티</t>
        </is>
      </c>
      <c r="H23" s="69" t="n">
        <v>237</v>
      </c>
      <c r="I23" s="51" t="n">
        <v>4023100</v>
      </c>
      <c r="J23" s="49" t="n">
        <v>0.03</v>
      </c>
    </row>
    <row r="24">
      <c r="B24" s="69" t="n">
        <v>22</v>
      </c>
      <c r="C24" s="69" t="n">
        <v>6276540</v>
      </c>
      <c r="D24" s="47" t="n">
        <v>45163</v>
      </c>
      <c r="E24" s="47" t="n">
        <v>45198</v>
      </c>
      <c r="F24" s="69" t="inlineStr">
        <is>
          <t>이체</t>
        </is>
      </c>
      <c r="G24" s="69" t="inlineStr">
        <is>
          <t>민트블렌드</t>
        </is>
      </c>
      <c r="H24" s="69" t="n">
        <v>971</v>
      </c>
      <c r="I24" s="51" t="n">
        <v>0</v>
      </c>
      <c r="J24" s="49" t="n">
        <v>0.06</v>
      </c>
    </row>
    <row r="25">
      <c r="B25" s="69" t="n">
        <v>23</v>
      </c>
      <c r="C25" s="69" t="n">
        <v>8438832</v>
      </c>
      <c r="D25" s="47" t="n">
        <v>45000</v>
      </c>
      <c r="E25" s="47" t="n">
        <v>45035</v>
      </c>
      <c r="F25" s="69" t="inlineStr">
        <is>
          <t>현금</t>
        </is>
      </c>
      <c r="G25" s="69" t="inlineStr">
        <is>
          <t>에스닉쥬얼티</t>
        </is>
      </c>
      <c r="H25" s="69" t="n">
        <v>544</v>
      </c>
      <c r="I25" s="51" t="n">
        <v>9139200</v>
      </c>
      <c r="J25" s="49" t="n">
        <v>0.04</v>
      </c>
    </row>
    <row r="26">
      <c r="B26" s="69" t="n">
        <v>24</v>
      </c>
      <c r="C26" s="69" t="n">
        <v>7965522</v>
      </c>
      <c r="D26" s="47" t="n">
        <v>44975</v>
      </c>
      <c r="E26" s="47" t="n">
        <v>45010</v>
      </c>
      <c r="F26" s="69" t="inlineStr">
        <is>
          <t>포인트</t>
        </is>
      </c>
      <c r="G26" s="69" t="inlineStr">
        <is>
          <t>에스닉쥬얼티</t>
        </is>
      </c>
      <c r="H26" s="69" t="n">
        <v>190</v>
      </c>
      <c r="I26" s="51" t="n">
        <v>3225300</v>
      </c>
      <c r="J26" s="49" t="n">
        <v>0.03</v>
      </c>
    </row>
    <row r="27">
      <c r="B27" s="69" t="n">
        <v>25</v>
      </c>
      <c r="C27" s="69" t="n">
        <v>8799431</v>
      </c>
      <c r="D27" s="47" t="n">
        <v>44935</v>
      </c>
      <c r="E27" s="47" t="n">
        <v>44970</v>
      </c>
      <c r="F27" s="69" t="inlineStr">
        <is>
          <t>카드</t>
        </is>
      </c>
      <c r="G27" s="69" t="inlineStr">
        <is>
          <t>크림카라멜</t>
        </is>
      </c>
      <c r="H27" s="69" t="n">
        <v>944</v>
      </c>
      <c r="I27" s="51" t="n">
        <v>0</v>
      </c>
      <c r="J27" s="49" t="n">
        <v>0.01</v>
      </c>
    </row>
    <row r="28">
      <c r="B28" s="69" t="n">
        <v>26</v>
      </c>
      <c r="C28" s="69" t="n">
        <v>8195789</v>
      </c>
      <c r="D28" s="47" t="n">
        <v>44954</v>
      </c>
      <c r="E28" s="47" t="n">
        <v>44989</v>
      </c>
      <c r="F28" s="69" t="inlineStr">
        <is>
          <t>이체</t>
        </is>
      </c>
      <c r="G28" s="69" t="inlineStr">
        <is>
          <t>1837블랙티</t>
        </is>
      </c>
      <c r="H28" s="69" t="n">
        <v>550</v>
      </c>
      <c r="I28" s="51" t="n">
        <v>9143800</v>
      </c>
      <c r="J28" s="49" t="n">
        <v>0.05</v>
      </c>
    </row>
    <row r="29">
      <c r="B29" s="69" t="n">
        <v>27</v>
      </c>
      <c r="C29" s="69" t="n">
        <v>9893137</v>
      </c>
      <c r="D29" s="47" t="n">
        <v>45161</v>
      </c>
      <c r="E29" s="47" t="n">
        <v>45196</v>
      </c>
      <c r="F29" s="69" t="inlineStr">
        <is>
          <t>이체</t>
        </is>
      </c>
      <c r="G29" s="69" t="inlineStr">
        <is>
          <t>할리퀸 티</t>
        </is>
      </c>
      <c r="H29" s="69" t="n">
        <v>830</v>
      </c>
      <c r="I29" s="51" t="n">
        <v>13944000</v>
      </c>
      <c r="J29" s="49" t="n">
        <v>0.04</v>
      </c>
    </row>
    <row r="30">
      <c r="B30" s="69" t="n">
        <v>28</v>
      </c>
      <c r="C30" s="69" t="n">
        <v>8820706</v>
      </c>
      <c r="D30" s="47" t="n">
        <v>45184</v>
      </c>
      <c r="E30" s="47" t="n">
        <v>45219</v>
      </c>
      <c r="F30" s="69" t="inlineStr">
        <is>
          <t>현금</t>
        </is>
      </c>
      <c r="G30" s="69" t="inlineStr">
        <is>
          <t>할리퀸 티</t>
        </is>
      </c>
      <c r="H30" s="69" t="n">
        <v>325</v>
      </c>
      <c r="I30" s="51" t="n">
        <v>0</v>
      </c>
      <c r="J30" s="49" t="n">
        <v>0.06</v>
      </c>
    </row>
    <row r="31">
      <c r="B31" s="69" t="n">
        <v>29</v>
      </c>
      <c r="C31" s="69" t="n">
        <v>9262573</v>
      </c>
      <c r="D31" s="47" t="n">
        <v>45180</v>
      </c>
      <c r="E31" s="47" t="n">
        <v>45215</v>
      </c>
      <c r="F31" s="69" t="inlineStr">
        <is>
          <t>현금</t>
        </is>
      </c>
      <c r="G31" s="69" t="inlineStr">
        <is>
          <t>오 누아르 티</t>
        </is>
      </c>
      <c r="H31" s="69" t="n">
        <v>791</v>
      </c>
      <c r="I31" s="51" t="n">
        <v>13150400</v>
      </c>
      <c r="J31" s="49" t="n">
        <v>0.05</v>
      </c>
    </row>
    <row r="32">
      <c r="B32" s="69" t="n">
        <v>30</v>
      </c>
      <c r="C32" s="69" t="n">
        <v>7648626</v>
      </c>
      <c r="D32" s="47" t="n">
        <v>45196</v>
      </c>
      <c r="E32" s="47" t="n">
        <v>45231</v>
      </c>
      <c r="F32" s="69" t="inlineStr">
        <is>
          <t>카드</t>
        </is>
      </c>
      <c r="G32" s="69" t="inlineStr">
        <is>
          <t>오 누아르 티</t>
        </is>
      </c>
      <c r="H32" s="69" t="n">
        <v>511</v>
      </c>
      <c r="I32" s="51" t="n">
        <v>1</v>
      </c>
      <c r="J32" s="49" t="n">
        <v>0.05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16">
    <outlinePr summaryBelow="1" summaryRight="1"/>
    <pageSetUpPr/>
  </sheetPr>
  <dimension ref="B2:K12"/>
  <sheetViews>
    <sheetView zoomScale="115" zoomScaleNormal="115" workbookViewId="0">
      <selection activeCell="D3" sqref="D3"/>
    </sheetView>
  </sheetViews>
  <sheetFormatPr baseColWidth="8" defaultColWidth="8.1796875" defaultRowHeight="19.2"/>
  <cols>
    <col width="3.453125" customWidth="1" style="70" min="1" max="1"/>
    <col width="11.1796875" customWidth="1" style="70" min="2" max="2"/>
    <col width="10.81640625" customWidth="1" style="70" min="3" max="3"/>
    <col width="13.36328125" customWidth="1" style="70" min="4" max="4"/>
    <col width="15.6328125" customWidth="1" style="70" min="5" max="6"/>
    <col width="3.6328125" customWidth="1" style="70" min="7" max="8"/>
    <col width="10.453125" customWidth="1" style="70" min="9" max="9"/>
    <col width="9.81640625" customWidth="1" style="70" min="10" max="10"/>
    <col width="9.6328125" bestFit="1" customWidth="1" style="70" min="11" max="11"/>
    <col width="8.81640625" bestFit="1" customWidth="1" style="70" min="12" max="12"/>
  </cols>
  <sheetData>
    <row r="2">
      <c r="B2" s="0" t="inlineStr">
        <is>
          <t>[표1]</t>
        </is>
      </c>
    </row>
    <row r="3" ht="19.8" customHeight="1" s="70" thickBot="1">
      <c r="B3" s="69" t="inlineStr">
        <is>
          <t>제품코드</t>
        </is>
      </c>
      <c r="C3" s="69" t="inlineStr">
        <is>
          <t>날짜</t>
        </is>
      </c>
      <c r="D3" s="69" t="inlineStr">
        <is>
          <t>수량</t>
        </is>
      </c>
      <c r="E3" s="69" t="inlineStr">
        <is>
          <t>가격</t>
        </is>
      </c>
      <c r="F3" s="69" t="inlineStr">
        <is>
          <t>총금액</t>
        </is>
      </c>
      <c r="I3" s="0" t="inlineStr">
        <is>
          <t>[참고 표]</t>
        </is>
      </c>
    </row>
    <row r="4" ht="19.8" customHeight="1" s="70" thickBot="1">
      <c r="B4" s="69" t="n"/>
      <c r="C4" s="69" t="n"/>
      <c r="D4" s="69" t="n"/>
      <c r="E4" s="69" t="n"/>
      <c r="F4" s="69" t="n"/>
      <c r="I4" s="53" t="inlineStr">
        <is>
          <t>제품코드</t>
        </is>
      </c>
      <c r="J4" s="54" t="inlineStr">
        <is>
          <t>구분</t>
        </is>
      </c>
      <c r="K4" s="55" t="inlineStr">
        <is>
          <t>할인율</t>
        </is>
      </c>
    </row>
    <row r="5" ht="19.8" customHeight="1" s="70" thickTop="1">
      <c r="B5" s="69" t="n"/>
      <c r="C5" s="69" t="n"/>
      <c r="D5" s="69" t="n"/>
      <c r="E5" s="69" t="n"/>
      <c r="F5" s="31" t="n"/>
      <c r="I5" s="56" t="inlineStr">
        <is>
          <t>A-K1023</t>
        </is>
      </c>
      <c r="J5" s="57" t="inlineStr">
        <is>
          <t>A</t>
        </is>
      </c>
      <c r="K5" s="58" t="n">
        <v>0.03</v>
      </c>
    </row>
    <row r="6">
      <c r="B6" s="69" t="n"/>
      <c r="C6" s="69" t="n"/>
      <c r="D6" s="69" t="n"/>
      <c r="E6" s="69" t="n"/>
      <c r="F6" s="69" t="n"/>
      <c r="I6" s="59" t="inlineStr">
        <is>
          <t>C-K4023</t>
        </is>
      </c>
      <c r="J6" s="69" t="inlineStr">
        <is>
          <t>B</t>
        </is>
      </c>
      <c r="K6" s="60" t="n">
        <v>0.03</v>
      </c>
    </row>
    <row r="7">
      <c r="B7" s="69" t="n"/>
      <c r="C7" s="69" t="n"/>
      <c r="D7" s="69" t="inlineStr">
        <is>
          <t xml:space="preserve"> </t>
        </is>
      </c>
      <c r="E7" s="69" t="n"/>
      <c r="F7" s="69" t="n"/>
      <c r="I7" s="59" t="inlineStr">
        <is>
          <t>B-K3500</t>
        </is>
      </c>
      <c r="J7" s="69" t="inlineStr">
        <is>
          <t>A</t>
        </is>
      </c>
      <c r="K7" s="60" t="n">
        <v>0.03</v>
      </c>
    </row>
    <row r="8">
      <c r="B8" s="69" t="n"/>
      <c r="C8" s="69" t="n"/>
      <c r="D8" s="69" t="n"/>
      <c r="E8" s="69" t="n"/>
      <c r="F8" s="69" t="n"/>
      <c r="I8" s="59" t="inlineStr">
        <is>
          <t>A-K1023</t>
        </is>
      </c>
      <c r="J8" s="69" t="inlineStr">
        <is>
          <t>B</t>
        </is>
      </c>
      <c r="K8" s="60" t="n">
        <v>0.05</v>
      </c>
    </row>
    <row r="9">
      <c r="B9" s="69" t="n"/>
      <c r="C9" s="69" t="n"/>
      <c r="D9" s="69" t="n"/>
      <c r="E9" s="69" t="n"/>
      <c r="F9" s="69" t="n"/>
      <c r="I9" s="59" t="inlineStr">
        <is>
          <t>C-K4023</t>
        </is>
      </c>
      <c r="J9" s="69" t="inlineStr">
        <is>
          <t>B</t>
        </is>
      </c>
      <c r="K9" s="60" t="n">
        <v>0.03</v>
      </c>
    </row>
    <row r="10">
      <c r="B10" s="69" t="n"/>
      <c r="C10" s="69" t="n"/>
      <c r="D10" s="69" t="n"/>
      <c r="E10" s="69" t="n"/>
      <c r="F10" s="69" t="n"/>
      <c r="I10" s="59" t="inlineStr">
        <is>
          <t>B-K3500</t>
        </is>
      </c>
      <c r="J10" s="69" t="inlineStr">
        <is>
          <t>A</t>
        </is>
      </c>
      <c r="K10" s="60" t="n">
        <v>0.03</v>
      </c>
    </row>
    <row r="11" ht="19.8" customHeight="1" s="70" thickBot="1">
      <c r="B11" s="69" t="n"/>
      <c r="C11" s="69" t="n"/>
      <c r="D11" s="69" t="n"/>
      <c r="E11" s="69" t="n"/>
      <c r="F11" s="69" t="n"/>
      <c r="I11" s="61" t="inlineStr">
        <is>
          <t>B-K3500</t>
        </is>
      </c>
      <c r="J11" s="62" t="inlineStr">
        <is>
          <t>B</t>
        </is>
      </c>
      <c r="K11" s="63" t="n">
        <v>0.05</v>
      </c>
    </row>
    <row r="12">
      <c r="B12" s="69" t="n"/>
      <c r="C12" s="69" t="n"/>
      <c r="D12" s="69" t="n"/>
      <c r="E12" s="69" t="n"/>
      <c r="F12" s="69" t="n"/>
    </row>
  </sheetData>
  <pageMargins left="0.7" right="0.7" top="0.75" bottom="0.75" header="0.3" footer="0.3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Microsoft Office User</dc:creator>
  <dcterms:created xmlns:dcterms="http://purl.org/dc/terms/" xmlns:xsi="http://www.w3.org/2001/XMLSchema-instance" xsi:type="dcterms:W3CDTF">2021-11-24T14:58:07Z</dcterms:created>
  <dcterms:modified xmlns:dcterms="http://purl.org/dc/terms/" xmlns:xsi="http://www.w3.org/2001/XMLSchema-instance" xsi:type="dcterms:W3CDTF">2026-06-06T07:23:30Z</dcterms:modified>
  <cp:lastModifiedBy>Administrator</cp:lastModifiedBy>
</cp:coreProperties>
</file>