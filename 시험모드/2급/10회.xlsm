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20430" yWindow="2970" windowWidth="28065" windowHeight="17085" tabRatio="922" firstSheet="2" activeTab="7" autoFilterDateGrouping="1"/>
  </bookViews>
  <sheets>
    <sheet xmlns:r="http://schemas.openxmlformats.org/officeDocument/2006/relationships" name="기본작업-1" sheetId="1" state="visible" r:id="rId1"/>
    <sheet xmlns:r="http://schemas.openxmlformats.org/officeDocument/2006/relationships" name="기본작업-2" sheetId="2" state="visible" r:id="rId2"/>
    <sheet xmlns:r="http://schemas.openxmlformats.org/officeDocument/2006/relationships" name="기본작업-3" sheetId="3" state="visible" r:id="rId3"/>
    <sheet xmlns:r="http://schemas.openxmlformats.org/officeDocument/2006/relationships" name="계산작업" sheetId="4" state="visible" r:id="rId4"/>
    <sheet xmlns:r="http://schemas.openxmlformats.org/officeDocument/2006/relationships" name="분석작업-1" sheetId="5" state="visible" r:id="rId5"/>
    <sheet xmlns:r="http://schemas.openxmlformats.org/officeDocument/2006/relationships" name="분석작업-2" sheetId="6" state="visible" r:id="rId6"/>
    <sheet xmlns:r="http://schemas.openxmlformats.org/officeDocument/2006/relationships" name="매크로작업" sheetId="7" state="visible" r:id="rId7"/>
    <sheet xmlns:r="http://schemas.openxmlformats.org/officeDocument/2006/relationships" name="차트작업" sheetId="8" state="visible" r:id="rId8"/>
  </sheets>
  <definedNames>
    <definedName name="학생코드정답">'기본작업-2 (정답)'!$B$4:$B$10</definedName>
  </definedNames>
  <calcPr calcId="181029" fullCalcOnLoad="1"/>
</workbook>
</file>

<file path=xl/styles.xml><?xml version="1.0" encoding="utf-8"?>
<styleSheet xmlns="http://schemas.openxmlformats.org/spreadsheetml/2006/main">
  <numFmts count="2">
    <numFmt numFmtId="164" formatCode="yy&quot;년&quot;\ mm&quot;월&quot;\ dd&quot;일&quot;"/>
    <numFmt numFmtId="165" formatCode="0.0%"/>
  </numFmts>
  <fonts count="11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2"/>
      <b val="1"/>
      <color theme="1"/>
      <sz val="11"/>
      <scheme val="minor"/>
    </font>
    <font>
      <name val="맑은 고딕"/>
      <charset val="129"/>
      <family val="3"/>
      <sz val="8"/>
      <scheme val="minor"/>
    </font>
    <font>
      <name val="맑은 고딕"/>
      <family val="2"/>
      <sz val="11"/>
      <scheme val="minor"/>
    </font>
    <font>
      <name val="굴림"/>
      <charset val="129"/>
      <family val="3"/>
      <b val="1"/>
      <color theme="1"/>
      <sz val="18"/>
    </font>
    <font>
      <name val="Tahoma"/>
      <family val="2"/>
      <b val="1"/>
      <color indexed="81"/>
      <sz val="9"/>
    </font>
    <font>
      <name val="돋움"/>
      <charset val="129"/>
      <family val="3"/>
      <b val="1"/>
      <color indexed="81"/>
      <sz val="9"/>
    </font>
    <font>
      <name val="맑은 고딕"/>
      <family val="2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 applyAlignment="1">
      <alignment vertical="center"/>
    </xf>
    <xf numFmtId="0" fontId="10" fillId="0" borderId="0"/>
  </cellStyleXfs>
  <cellXfs count="33"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0" fontId="0" fillId="0" borderId="0" pivotButton="0" quotePrefix="0" xfId="0"/>
    <xf numFmtId="0" fontId="0" fillId="3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6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20" fontId="0" fillId="0" borderId="1" applyAlignment="1" pivotButton="0" quotePrefix="0" xfId="0">
      <alignment horizontal="center"/>
    </xf>
    <xf numFmtId="164" fontId="0" fillId="0" borderId="1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10" fillId="0" borderId="0" pivotButton="0" quotePrefix="0" xfId="1"/>
    <xf numFmtId="0" fontId="10" fillId="2" borderId="1" applyAlignment="1" pivotButton="0" quotePrefix="0" xfId="1">
      <alignment horizontal="center"/>
    </xf>
    <xf numFmtId="0" fontId="10" fillId="0" borderId="1" applyAlignment="1" pivotButton="0" quotePrefix="0" xfId="1">
      <alignment horizontal="center"/>
    </xf>
    <xf numFmtId="0" fontId="10" fillId="0" borderId="1" pivotButton="0" quotePrefix="0" xfId="1"/>
    <xf numFmtId="0" fontId="2" fillId="3" borderId="1" pivotButton="0" quotePrefix="0" xfId="1"/>
    <xf numFmtId="0" fontId="10" fillId="0" borderId="0" pivotButton="0" quotePrefix="0" xfId="1"/>
    <xf numFmtId="0" fontId="10" fillId="0" borderId="1" pivotButton="0" quotePrefix="0" xfId="1"/>
    <xf numFmtId="0" fontId="0" fillId="3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0" fillId="3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165" fontId="0" fillId="0" borderId="1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/>
    </xf>
    <xf numFmtId="0" fontId="0" fillId="3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165" fontId="0" fillId="0" borderId="1" applyAlignment="1" pivotButton="0" quotePrefix="0" xfId="0">
      <alignment horizontal="center" vertical="center"/>
    </xf>
  </cellXfs>
  <cellStyles count="2">
    <cellStyle name="표준" xfId="0" builtinId="0"/>
    <cellStyle name="표준 2" xfId="1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title>
    <plotArea>
      <layout/>
      <lineChart>
        <grouping val="standard"/>
        <varyColors val="0"/>
        <ser>
          <idx val="0"/>
          <order val="0"/>
          <tx>
            <strRef>
              <f>차트작업!$B$3</f>
              <strCache>
                <ptCount val="1"/>
                <pt idx="0">
                  <v>1회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차트작업!$A$4:$A$8</f>
              <strCache>
                <ptCount val="5"/>
                <pt idx="0">
                  <v>김모발</v>
                </pt>
                <pt idx="1">
                  <v>최풍성</v>
                </pt>
                <pt idx="2">
                  <v>정찰랑</v>
                </pt>
                <pt idx="3">
                  <v>박반짝</v>
                </pt>
                <pt idx="4">
                  <v>이리듐</v>
                </pt>
              </strCache>
            </strRef>
          </cat>
          <val>
            <numRef>
              <f>차트작업!$B$4:$B$8</f>
              <numCache>
                <formatCode>General</formatCode>
                <ptCount val="5"/>
                <pt idx="0">
                  <v>13</v>
                </pt>
                <pt idx="1">
                  <v>12</v>
                </pt>
                <pt idx="2">
                  <v>15</v>
                </pt>
                <pt idx="3">
                  <v>3</v>
                </pt>
                <pt idx="4">
                  <v>14</v>
                </pt>
              </numCache>
            </numRef>
          </val>
          <smooth val="0"/>
        </ser>
        <ser>
          <idx val="1"/>
          <order val="1"/>
          <tx>
            <strRef>
              <f>차트작업!$C$3</f>
              <strCache>
                <ptCount val="1"/>
                <pt idx="0">
                  <v>2회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cat>
            <strRef>
              <f>차트작업!$A$4:$A$8</f>
              <strCache>
                <ptCount val="5"/>
                <pt idx="0">
                  <v>김모발</v>
                </pt>
                <pt idx="1">
                  <v>최풍성</v>
                </pt>
                <pt idx="2">
                  <v>정찰랑</v>
                </pt>
                <pt idx="3">
                  <v>박반짝</v>
                </pt>
                <pt idx="4">
                  <v>이리듐</v>
                </pt>
              </strCache>
            </strRef>
          </cat>
          <val>
            <numRef>
              <f>차트작업!$C$4:$C$8</f>
              <numCache>
                <formatCode>General</formatCode>
                <ptCount val="5"/>
                <pt idx="0">
                  <v>20</v>
                </pt>
                <pt idx="1">
                  <v>14</v>
                </pt>
                <pt idx="2">
                  <v>15</v>
                </pt>
                <pt idx="3">
                  <v>0</v>
                </pt>
                <pt idx="4">
                  <v>15</v>
                </pt>
              </numCache>
            </numRef>
          </val>
          <smooth val="0"/>
        </ser>
        <ser>
          <idx val="2"/>
          <order val="2"/>
          <tx>
            <strRef>
              <f>차트작업!$D$3</f>
              <strCache>
                <ptCount val="1"/>
                <pt idx="0">
                  <v>3회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3"/>
              </a:solidFill>
              <a:ln xmlns:a="http://schemas.openxmlformats.org/drawingml/2006/main" w="9525">
                <a:solidFill>
                  <a:schemeClr val="accent3"/>
                </a:solidFill>
                <a:prstDash val="solid"/>
              </a:ln>
            </spPr>
          </marker>
          <cat>
            <strRef>
              <f>차트작업!$A$4:$A$8</f>
              <strCache>
                <ptCount val="5"/>
                <pt idx="0">
                  <v>김모발</v>
                </pt>
                <pt idx="1">
                  <v>최풍성</v>
                </pt>
                <pt idx="2">
                  <v>정찰랑</v>
                </pt>
                <pt idx="3">
                  <v>박반짝</v>
                </pt>
                <pt idx="4">
                  <v>이리듐</v>
                </pt>
              </strCache>
            </strRef>
          </cat>
          <val>
            <numRef>
              <f>차트작업!$D$4:$D$8</f>
              <numCache>
                <formatCode>General</formatCode>
                <ptCount val="5"/>
                <pt idx="0">
                  <v>24</v>
                </pt>
                <pt idx="1">
                  <v>13</v>
                </pt>
                <pt idx="2">
                  <v>14</v>
                </pt>
                <pt idx="3">
                  <v>0</v>
                </pt>
                <pt idx="4">
                  <v>10</v>
                </pt>
              </numCache>
            </numRef>
          </val>
          <smooth val="0"/>
        </ser>
        <ser>
          <idx val="3"/>
          <order val="3"/>
          <tx>
            <strRef>
              <f>차트작업!$E$3</f>
              <strCache>
                <ptCount val="1"/>
                <pt idx="0">
                  <v>4회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4"/>
              </a:solidFill>
              <a:ln xmlns:a="http://schemas.openxmlformats.org/drawingml/2006/main" w="9525">
                <a:solidFill>
                  <a:schemeClr val="accent4"/>
                </a:solidFill>
                <a:prstDash val="solid"/>
              </a:ln>
            </spPr>
          </marker>
          <cat>
            <strRef>
              <f>차트작업!$A$4:$A$8</f>
              <strCache>
                <ptCount val="5"/>
                <pt idx="0">
                  <v>김모발</v>
                </pt>
                <pt idx="1">
                  <v>최풍성</v>
                </pt>
                <pt idx="2">
                  <v>정찰랑</v>
                </pt>
                <pt idx="3">
                  <v>박반짝</v>
                </pt>
                <pt idx="4">
                  <v>이리듐</v>
                </pt>
              </strCache>
            </strRef>
          </cat>
          <val>
            <numRef>
              <f>차트작업!$E$4:$E$8</f>
              <numCache>
                <formatCode>General</formatCode>
                <ptCount val="5"/>
                <pt idx="0">
                  <v>40</v>
                </pt>
                <pt idx="1">
                  <v>8</v>
                </pt>
                <pt idx="2">
                  <v>10</v>
                </pt>
                <pt idx="3">
                  <v>0</v>
                </pt>
                <pt idx="4">
                  <v>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729469455"/>
        <axId val="1729448655"/>
      </lineChart>
      <catAx>
        <axId val="172946945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1729448655"/>
        <crosses val="autoZero"/>
        <auto val="1"/>
        <lblAlgn val="ctr"/>
        <lblOffset val="100"/>
        <noMultiLvlLbl val="0"/>
      </catAx>
      <valAx>
        <axId val="17294486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1729469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0</colOff>
      <row>11</row>
      <rowOff>209549</rowOff>
    </from>
    <to>
      <col>7</col>
      <colOff>0</colOff>
      <row>25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rot="0" spcFirstLastPara="0" vertOverflow="clip" horzOverflow="clip" vert="horz" wrap="square" lIns="91440" tIns="45720" rIns="9144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zoomScaleNormal="100" workbookViewId="0">
      <selection activeCell="B10" sqref="B10"/>
    </sheetView>
  </sheetViews>
  <sheetFormatPr baseColWidth="8" defaultRowHeight="16.5"/>
  <cols>
    <col width="9" customWidth="1" style="2" min="1" max="1"/>
    <col width="16.25" bestFit="1" customWidth="1" style="2" min="2" max="2"/>
    <col width="9" customWidth="1" style="2" min="3" max="16384"/>
  </cols>
  <sheetData>
    <row r="1">
      <c r="A1" t="inlineStr">
        <is>
          <t>하반기 인터넷 수강생 모집 현황</t>
        </is>
      </c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G14"/>
  <sheetViews>
    <sheetView zoomScale="85" zoomScaleNormal="85" workbookViewId="0">
      <selection activeCell="E16" sqref="E16"/>
    </sheetView>
  </sheetViews>
  <sheetFormatPr baseColWidth="8" defaultRowHeight="16.5"/>
  <cols>
    <col width="11" bestFit="1" customWidth="1" style="2" min="1" max="1"/>
    <col width="9" customWidth="1" style="2" min="2" max="3"/>
    <col width="11.625" bestFit="1" customWidth="1" style="2" min="4" max="4"/>
    <col width="9" customWidth="1" style="2" min="5" max="5"/>
    <col width="14.875" bestFit="1" customWidth="1" style="2" min="6" max="6"/>
    <col width="9" customWidth="1" style="2" min="7" max="16384"/>
  </cols>
  <sheetData>
    <row r="1">
      <c r="A1" s="0" t="n"/>
      <c r="B1" s="0" t="n"/>
      <c r="C1" s="0" t="n"/>
      <c r="D1" s="0" t="n"/>
      <c r="E1" s="0" t="n"/>
      <c r="F1" s="0" t="n"/>
      <c r="G1" s="0" t="n"/>
    </row>
    <row r="2">
      <c r="A2" s="0" t="inlineStr">
        <is>
          <t>금일 영화 상영 시간표</t>
        </is>
      </c>
      <c r="B2" s="0" t="n"/>
      <c r="C2" s="0" t="n"/>
      <c r="D2" s="0" t="n"/>
      <c r="E2" s="0" t="n"/>
      <c r="F2" s="0" t="n"/>
      <c r="G2" s="0" t="n"/>
    </row>
    <row r="3">
      <c r="A3" s="0" t="inlineStr">
        <is>
          <t>장르</t>
        </is>
      </c>
      <c r="B3" s="0" t="inlineStr">
        <is>
          <t>상영시간</t>
        </is>
      </c>
      <c r="C3" s="0" t="inlineStr">
        <is>
          <t>상영관</t>
        </is>
      </c>
      <c r="D3" s="0" t="inlineStr">
        <is>
          <t>제목</t>
        </is>
      </c>
      <c r="E3" s="0" t="inlineStr">
        <is>
          <t>평점</t>
        </is>
      </c>
      <c r="F3" s="0" t="inlineStr">
        <is>
          <t>개봉일</t>
        </is>
      </c>
      <c r="G3" s="0" t="n"/>
    </row>
    <row r="4">
      <c r="A4" s="0" t="inlineStr">
        <is>
          <t>액션</t>
        </is>
      </c>
      <c r="B4" s="0" t="n">
        <v>0.5208333333333334</v>
      </c>
      <c r="C4" s="0" t="n">
        <v>1</v>
      </c>
      <c r="D4" s="0" t="inlineStr">
        <is>
          <t>통곡의 질주</t>
        </is>
      </c>
      <c r="E4" s="0" t="n">
        <v>5.9</v>
      </c>
      <c r="F4" s="0" t="n">
        <v>44201</v>
      </c>
      <c r="G4" s="0" t="n"/>
    </row>
    <row r="5">
      <c r="A5" s="0" t="inlineStr">
        <is>
          <t>애니메이션</t>
        </is>
      </c>
      <c r="B5" s="0" t="n">
        <v>0.5208333333333334</v>
      </c>
      <c r="C5" s="0" t="n">
        <v>3</v>
      </c>
      <c r="D5" s="0" t="inlineStr">
        <is>
          <t>귀신의 창날</t>
        </is>
      </c>
      <c r="E5" s="0" t="n">
        <v>6.3</v>
      </c>
      <c r="F5" s="0" t="n">
        <v>44262</v>
      </c>
      <c r="G5" s="0" t="n"/>
    </row>
    <row r="6">
      <c r="A6" s="0" t="inlineStr">
        <is>
          <t>액션</t>
        </is>
      </c>
      <c r="B6" s="0" t="n">
        <v>0.5277777777777778</v>
      </c>
      <c r="C6" s="0" t="n">
        <v>5</v>
      </c>
      <c r="D6" s="0" t="inlineStr">
        <is>
          <t>14구역</t>
        </is>
      </c>
      <c r="E6" s="0" t="n">
        <v>4.7</v>
      </c>
      <c r="F6" s="0" t="n">
        <v>44259</v>
      </c>
      <c r="G6" s="0" t="n"/>
    </row>
    <row r="7">
      <c r="A7" s="0" t="inlineStr">
        <is>
          <t>액션</t>
        </is>
      </c>
      <c r="B7" s="0" t="n">
        <v>0.5277777777777778</v>
      </c>
      <c r="C7" s="0" t="n">
        <v>6</v>
      </c>
      <c r="D7" s="0" t="inlineStr">
        <is>
          <t>복수자들</t>
        </is>
      </c>
      <c r="E7" s="0" t="n">
        <v>8.699999999999999</v>
      </c>
      <c r="F7" s="0" t="n">
        <v>44260</v>
      </c>
      <c r="G7" s="0" t="n"/>
    </row>
    <row r="8">
      <c r="A8" s="0" t="inlineStr">
        <is>
          <t>추리</t>
        </is>
      </c>
      <c r="B8" s="0" t="n">
        <v>0.517361111111111</v>
      </c>
      <c r="C8" s="0" t="n">
        <v>4</v>
      </c>
      <c r="D8" s="0" t="inlineStr">
        <is>
          <t>홈즈</t>
        </is>
      </c>
      <c r="E8" s="0" t="n">
        <v>5.7</v>
      </c>
      <c r="F8" s="0" t="n">
        <v>44260</v>
      </c>
      <c r="G8" s="0" t="n"/>
    </row>
    <row r="9">
      <c r="A9" s="0" t="inlineStr">
        <is>
          <t>범죄</t>
        </is>
      </c>
      <c r="B9" s="0" t="n">
        <v>0.5555555555555556</v>
      </c>
      <c r="C9" s="0" t="n">
        <v>2</v>
      </c>
      <c r="D9" s="0" t="inlineStr">
        <is>
          <t>구세계</t>
        </is>
      </c>
      <c r="E9" s="0" t="n">
        <v>9.800000000000001</v>
      </c>
      <c r="F9" s="0" t="n">
        <v>44244</v>
      </c>
      <c r="G9" s="0" t="n"/>
    </row>
    <row r="10">
      <c r="A10" s="0" t="inlineStr">
        <is>
          <t>드라마</t>
        </is>
      </c>
      <c r="B10" s="0" t="n">
        <v>0.6319444444444444</v>
      </c>
      <c r="C10" s="0" t="n">
        <v>5</v>
      </c>
      <c r="D10" s="0" t="inlineStr">
        <is>
          <t>지우쌤컴활</t>
        </is>
      </c>
      <c r="E10" s="0" t="n">
        <v>9.9</v>
      </c>
      <c r="F10" s="0" t="n">
        <v>44224</v>
      </c>
      <c r="G10" s="0" t="n"/>
    </row>
    <row r="11">
      <c r="A11" s="0" t="inlineStr">
        <is>
          <t>드라마</t>
        </is>
      </c>
      <c r="B11" s="0" t="n">
        <v>0.642361111111111</v>
      </c>
      <c r="C11" s="0" t="n">
        <v>4</v>
      </c>
      <c r="D11" s="0" t="inlineStr">
        <is>
          <t>머냐게임</t>
        </is>
      </c>
      <c r="E11" s="0" t="n">
        <v>7.5</v>
      </c>
      <c r="F11" s="0" t="n">
        <v>44256</v>
      </c>
      <c r="G11" s="0" t="n"/>
    </row>
    <row r="12">
      <c r="A12" s="0" t="n"/>
      <c r="B12" s="0" t="n"/>
      <c r="C12" s="0" t="n"/>
      <c r="D12" s="0" t="n"/>
      <c r="E12" s="0" t="n"/>
      <c r="F12" s="0" t="n"/>
      <c r="G12" s="0" t="n"/>
    </row>
    <row r="13">
      <c r="A13" s="0" t="n"/>
      <c r="B13" s="0" t="n"/>
      <c r="C13" s="0" t="n"/>
      <c r="D13" s="0" t="n"/>
      <c r="E13" s="0" t="n"/>
      <c r="F13" s="0" t="n"/>
      <c r="G13" s="0" t="n"/>
    </row>
    <row r="14">
      <c r="A14" s="0" t="n"/>
      <c r="B14" s="0" t="n"/>
      <c r="C14" s="0" t="n"/>
      <c r="D14" s="0" t="n"/>
      <c r="E14" s="0" t="n"/>
      <c r="F14" s="0" t="n"/>
      <c r="G14" s="0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G22"/>
  <sheetViews>
    <sheetView zoomScaleNormal="100" workbookViewId="0">
      <selection activeCell="F9" sqref="F9"/>
    </sheetView>
  </sheetViews>
  <sheetFormatPr baseColWidth="8" defaultRowHeight="16.5"/>
  <cols>
    <col width="17.25" bestFit="1" customWidth="1" style="2" min="1" max="1"/>
    <col width="13" bestFit="1" customWidth="1" style="2" min="2" max="2"/>
    <col width="9" customWidth="1" style="2" min="3" max="16384"/>
  </cols>
  <sheetData>
    <row r="1">
      <c r="A1" t="inlineStr">
        <is>
          <t>워터멜론 플레이리스트</t>
        </is>
      </c>
    </row>
    <row r="2">
      <c r="A2" s="10" t="inlineStr">
        <is>
          <t>곡 제목</t>
        </is>
      </c>
      <c r="B2" s="10" t="inlineStr">
        <is>
          <t>가수</t>
        </is>
      </c>
      <c r="C2" s="10" t="inlineStr">
        <is>
          <t>좋아요</t>
        </is>
      </c>
      <c r="D2" s="10" t="inlineStr">
        <is>
          <t>순위</t>
        </is>
      </c>
      <c r="G2" s="22" t="n"/>
    </row>
    <row r="3">
      <c r="A3" s="29" t="inlineStr">
        <is>
          <t>But her</t>
        </is>
      </c>
      <c r="B3" s="29" t="inlineStr">
        <is>
          <t>방화소녀단</t>
        </is>
      </c>
      <c r="C3" s="29" t="n">
        <v>155544</v>
      </c>
      <c r="D3" s="29" t="n">
        <v>1</v>
      </c>
    </row>
    <row r="4">
      <c r="A4" s="29" t="inlineStr">
        <is>
          <t>Lollin</t>
        </is>
      </c>
      <c r="B4" s="29" t="inlineStr">
        <is>
          <t>용감한남자들</t>
        </is>
      </c>
      <c r="C4" s="29" t="n">
        <v>268155</v>
      </c>
      <c r="D4" s="29" t="n">
        <v>2</v>
      </c>
    </row>
    <row r="5">
      <c r="A5" s="29" t="inlineStr">
        <is>
          <t>레일리</t>
        </is>
      </c>
      <c r="B5" s="29" t="inlineStr">
        <is>
          <t>어른이유</t>
        </is>
      </c>
      <c r="C5" s="29" t="n">
        <v>189432</v>
      </c>
      <c r="D5" s="29" t="n">
        <v>3</v>
      </c>
    </row>
    <row r="6">
      <c r="A6" s="29" t="inlineStr">
        <is>
          <t>Celebration</t>
        </is>
      </c>
      <c r="B6" s="29" t="inlineStr">
        <is>
          <t>어른이유</t>
        </is>
      </c>
      <c r="C6" s="29" t="n">
        <v>283494</v>
      </c>
      <c r="D6" s="29" t="n">
        <v>4</v>
      </c>
    </row>
    <row r="7">
      <c r="A7" s="29" t="inlineStr">
        <is>
          <t>Tinymite</t>
        </is>
      </c>
      <c r="B7" s="29" t="inlineStr">
        <is>
          <t>방화소녀단</t>
        </is>
      </c>
      <c r="C7" s="29" t="n">
        <v>406066</v>
      </c>
      <c r="D7" s="29" t="n">
        <v>5</v>
      </c>
    </row>
    <row r="8">
      <c r="A8" s="29" t="inlineStr">
        <is>
          <t>니 손을 잡아</t>
        </is>
      </c>
      <c r="B8" s="29" t="inlineStr">
        <is>
          <t>어른이유</t>
        </is>
      </c>
      <c r="C8" s="29" t="n">
        <v>147921</v>
      </c>
      <c r="D8" s="29" t="n">
        <v>6</v>
      </c>
    </row>
    <row r="9">
      <c r="A9" s="29" t="inlineStr">
        <is>
          <t>큰 것들을 위한 시</t>
        </is>
      </c>
      <c r="B9" s="29" t="inlineStr">
        <is>
          <t>방화소녀단</t>
        </is>
      </c>
      <c r="C9" s="29" t="n">
        <v>418888</v>
      </c>
      <c r="D9" s="29" t="n">
        <v>7</v>
      </c>
    </row>
    <row r="10">
      <c r="A10" s="29" t="inlineStr">
        <is>
          <t>Qoin</t>
        </is>
      </c>
      <c r="B10" s="29" t="inlineStr">
        <is>
          <t>어른이유</t>
        </is>
      </c>
      <c r="C10" s="29" t="n">
        <v>88815</v>
      </c>
      <c r="D10" s="29" t="n">
        <v>8</v>
      </c>
    </row>
    <row r="11">
      <c r="A11" s="29" t="inlineStr">
        <is>
          <t>잠이 안와요</t>
        </is>
      </c>
      <c r="B11" s="29" t="inlineStr">
        <is>
          <t>정범존</t>
        </is>
      </c>
      <c r="C11" s="29" t="n">
        <v>137639</v>
      </c>
      <c r="D11" s="29" t="n">
        <v>9</v>
      </c>
    </row>
    <row r="12">
      <c r="A12" s="29" t="inlineStr">
        <is>
          <t>Redming</t>
        </is>
      </c>
      <c r="B12" s="29" t="inlineStr">
        <is>
          <t>어른이유</t>
        </is>
      </c>
      <c r="C12" s="29" t="n">
        <v>307061</v>
      </c>
      <c r="D12" s="29" t="n">
        <v>10</v>
      </c>
    </row>
    <row r="14">
      <c r="A14" s="0" t="n"/>
      <c r="B14" s="0" t="n"/>
      <c r="C14" s="0" t="n"/>
      <c r="D14" s="0" t="n"/>
      <c r="E14" s="0" t="n"/>
    </row>
    <row r="15">
      <c r="A15" s="0" t="n"/>
      <c r="B15" s="0" t="n"/>
      <c r="C15" s="0" t="n"/>
      <c r="D15" s="0" t="n"/>
      <c r="E15" s="0" t="n"/>
    </row>
    <row r="16">
      <c r="A16" s="0" t="n"/>
      <c r="B16" s="0" t="n"/>
      <c r="C16" s="0" t="n"/>
      <c r="D16" s="0" t="n"/>
      <c r="E16" s="0" t="n"/>
    </row>
    <row r="17">
      <c r="A17" s="0" t="n"/>
      <c r="B17" s="0" t="n"/>
      <c r="C17" s="0" t="n"/>
      <c r="D17" s="0" t="n"/>
      <c r="E17" s="0" t="n"/>
    </row>
    <row r="18">
      <c r="A18" s="0" t="n"/>
      <c r="B18" s="0" t="n"/>
      <c r="C18" s="0" t="n"/>
      <c r="D18" s="0" t="n"/>
      <c r="E18" s="0" t="n"/>
    </row>
    <row r="19">
      <c r="A19" s="0" t="n"/>
      <c r="B19" s="0" t="n"/>
      <c r="C19" s="0" t="n"/>
      <c r="D19" s="0" t="n"/>
      <c r="E19" s="0" t="n"/>
    </row>
    <row r="20">
      <c r="A20" s="0" t="n"/>
      <c r="B20" s="0" t="n"/>
      <c r="C20" s="0" t="n"/>
      <c r="D20" s="0" t="n"/>
      <c r="E20" s="0" t="n"/>
    </row>
    <row r="21">
      <c r="A21" s="0" t="n"/>
      <c r="B21" s="0" t="n"/>
      <c r="C21" s="0" t="n"/>
      <c r="D21" s="0" t="n"/>
      <c r="E21" s="0" t="n"/>
    </row>
    <row r="22">
      <c r="A22" s="0" t="n"/>
      <c r="B22" s="0" t="n"/>
      <c r="C22" s="0" t="n"/>
      <c r="D22" s="0" t="n"/>
      <c r="E22" s="0" t="n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7">
    <outlinePr summaryBelow="1" summaryRight="1"/>
    <pageSetUpPr/>
  </sheetPr>
  <dimension ref="A1:M30"/>
  <sheetViews>
    <sheetView workbookViewId="0">
      <selection activeCell="K15" sqref="K15"/>
    </sheetView>
  </sheetViews>
  <sheetFormatPr baseColWidth="8" defaultRowHeight="16.5"/>
  <cols>
    <col width="11" bestFit="1" customWidth="1" style="2" min="1" max="1"/>
    <col width="9" customWidth="1" style="2" min="2" max="2"/>
    <col width="9.5" bestFit="1" customWidth="1" style="2" min="3" max="3"/>
    <col width="9" customWidth="1" style="2" min="4" max="7"/>
    <col width="11" bestFit="1" customWidth="1" style="2" min="8" max="9"/>
    <col width="9" customWidth="1" style="2" min="10" max="10"/>
    <col width="11.125" bestFit="1" customWidth="1" style="2" min="11" max="11"/>
    <col width="9" customWidth="1" style="2" min="12" max="16384"/>
  </cols>
  <sheetData>
    <row r="1">
      <c r="A1" t="inlineStr">
        <is>
          <t>[표1]</t>
        </is>
      </c>
      <c r="H1" t="inlineStr">
        <is>
          <t>[표2]</t>
        </is>
      </c>
    </row>
    <row r="2">
      <c r="A2" s="28" t="inlineStr">
        <is>
          <t>이름</t>
        </is>
      </c>
      <c r="B2" s="28" t="inlineStr">
        <is>
          <t>점수</t>
        </is>
      </c>
      <c r="C2" s="28" t="inlineStr">
        <is>
          <t>학점</t>
        </is>
      </c>
      <c r="H2" s="28" t="inlineStr">
        <is>
          <t>코드발급</t>
        </is>
      </c>
      <c r="I2" s="28" t="inlineStr">
        <is>
          <t>코드재발급</t>
        </is>
      </c>
      <c r="J2" s="28" t="inlineStr">
        <is>
          <t>인증번호</t>
        </is>
      </c>
    </row>
    <row r="3">
      <c r="A3" s="29" t="inlineStr">
        <is>
          <t>정**</t>
        </is>
      </c>
      <c r="B3" s="29" t="n">
        <v>82</v>
      </c>
      <c r="C3" s="29" t="n"/>
      <c r="H3" s="29" t="n">
        <v>31415</v>
      </c>
      <c r="I3" s="29" t="n">
        <v>383279</v>
      </c>
      <c r="J3" s="29" t="n"/>
    </row>
    <row r="4">
      <c r="A4" s="29" t="inlineStr">
        <is>
          <t>김**</t>
        </is>
      </c>
      <c r="B4" s="29" t="n">
        <v>57</v>
      </c>
      <c r="C4" s="29" t="n"/>
      <c r="H4" s="29" t="n">
        <v>926535</v>
      </c>
      <c r="I4" s="29" t="n">
        <v>926535</v>
      </c>
      <c r="J4" s="29" t="n"/>
    </row>
    <row r="5">
      <c r="A5" s="29" t="inlineStr">
        <is>
          <t>최**</t>
        </is>
      </c>
      <c r="B5" s="29" t="n">
        <v>30</v>
      </c>
      <c r="C5" s="29" t="n"/>
      <c r="H5" s="29" t="n">
        <v>8979</v>
      </c>
      <c r="I5" s="29" t="n">
        <v>8979</v>
      </c>
      <c r="J5" s="29" t="n"/>
    </row>
    <row r="6">
      <c r="A6" s="29" t="inlineStr">
        <is>
          <t>박**</t>
        </is>
      </c>
      <c r="B6" s="29" t="n">
        <v>93</v>
      </c>
      <c r="C6" s="29" t="n"/>
      <c r="H6" s="29" t="n">
        <v>323845</v>
      </c>
      <c r="I6" s="29" t="n">
        <v>323845</v>
      </c>
      <c r="J6" s="29" t="n"/>
    </row>
    <row r="7">
      <c r="A7" s="29" t="inlineStr">
        <is>
          <t>이**</t>
        </is>
      </c>
      <c r="B7" s="29" t="n">
        <v>0</v>
      </c>
      <c r="C7" s="29" t="n"/>
      <c r="H7" s="29" t="n">
        <v>2645</v>
      </c>
      <c r="I7" s="29" t="n">
        <v>2645</v>
      </c>
      <c r="J7" s="29" t="n"/>
    </row>
    <row r="8">
      <c r="A8" s="29" t="inlineStr">
        <is>
          <t>남**</t>
        </is>
      </c>
      <c r="B8" s="29" t="n">
        <v>53</v>
      </c>
      <c r="C8" s="29" t="n"/>
      <c r="H8" s="29" t="n">
        <v>383279</v>
      </c>
      <c r="I8" s="29" t="n">
        <v>31415</v>
      </c>
      <c r="J8" s="29" t="n"/>
    </row>
    <row r="10">
      <c r="H10" s="28" t="inlineStr">
        <is>
          <t>코드뒷자리</t>
        </is>
      </c>
      <c r="I10" s="29" t="n">
        <v>5</v>
      </c>
      <c r="J10" s="29" t="n">
        <v>6</v>
      </c>
      <c r="K10" s="29" t="n">
        <v>7</v>
      </c>
      <c r="L10" s="29" t="n">
        <v>8</v>
      </c>
      <c r="M10" s="29" t="n">
        <v>9</v>
      </c>
    </row>
    <row r="11">
      <c r="H11" s="28" t="inlineStr">
        <is>
          <t>인증번호</t>
        </is>
      </c>
      <c r="I11" s="29" t="n">
        <v>1592</v>
      </c>
      <c r="J11" s="29" t="n">
        <v>6535</v>
      </c>
      <c r="K11" s="29" t="n">
        <v>8979</v>
      </c>
      <c r="L11" s="29" t="n">
        <v>3238</v>
      </c>
      <c r="M11" s="29" t="n">
        <v>4626</v>
      </c>
    </row>
    <row r="12">
      <c r="H12" s="5" t="n"/>
      <c r="I12" s="22" t="n"/>
      <c r="J12" s="22" t="n"/>
      <c r="K12" s="22" t="n"/>
      <c r="L12" s="22" t="n"/>
      <c r="M12" s="22" t="n"/>
    </row>
    <row r="13">
      <c r="A13" t="inlineStr">
        <is>
          <t>[표3]</t>
        </is>
      </c>
      <c r="H13" t="inlineStr">
        <is>
          <t>[표4]</t>
        </is>
      </c>
    </row>
    <row r="14">
      <c r="A14" s="28" t="inlineStr">
        <is>
          <t>학생 이름</t>
        </is>
      </c>
      <c r="B14" s="28" t="inlineStr">
        <is>
          <t>1일차</t>
        </is>
      </c>
      <c r="C14" s="28" t="inlineStr">
        <is>
          <t>2일차</t>
        </is>
      </c>
      <c r="D14" s="28" t="inlineStr">
        <is>
          <t>3일차</t>
        </is>
      </c>
      <c r="E14" s="28" t="inlineStr">
        <is>
          <t>4일차</t>
        </is>
      </c>
      <c r="F14" s="28" t="inlineStr">
        <is>
          <t>P/NP</t>
        </is>
      </c>
      <c r="H14" s="28" t="inlineStr">
        <is>
          <t>연</t>
        </is>
      </c>
      <c r="I14" s="28" t="inlineStr">
        <is>
          <t>월</t>
        </is>
      </c>
      <c r="J14" s="28" t="inlineStr">
        <is>
          <t>일</t>
        </is>
      </c>
      <c r="K14" s="28" t="inlineStr">
        <is>
          <t>요일</t>
        </is>
      </c>
    </row>
    <row r="15">
      <c r="A15" s="29" t="inlineStr">
        <is>
          <t>뉴턴</t>
        </is>
      </c>
      <c r="B15" s="29" t="inlineStr">
        <is>
          <t>출석</t>
        </is>
      </c>
      <c r="C15" s="29" t="inlineStr">
        <is>
          <t>출석</t>
        </is>
      </c>
      <c r="D15" s="29" t="inlineStr">
        <is>
          <t>출석</t>
        </is>
      </c>
      <c r="E15" s="29" t="n"/>
      <c r="F15" s="29" t="n"/>
      <c r="H15" s="29" t="n">
        <v>2021</v>
      </c>
      <c r="I15" s="29" t="n">
        <v>7</v>
      </c>
      <c r="J15" s="29" t="n">
        <v>5</v>
      </c>
      <c r="K15" s="29" t="n"/>
    </row>
    <row r="16">
      <c r="A16" s="29" t="inlineStr">
        <is>
          <t>노이만</t>
        </is>
      </c>
      <c r="B16" s="29" t="inlineStr">
        <is>
          <t>출석</t>
        </is>
      </c>
      <c r="C16" s="29" t="inlineStr">
        <is>
          <t>출석</t>
        </is>
      </c>
      <c r="D16" s="29" t="inlineStr">
        <is>
          <t>출석</t>
        </is>
      </c>
      <c r="E16" s="29" t="inlineStr">
        <is>
          <t>출석</t>
        </is>
      </c>
      <c r="F16" s="29" t="n"/>
      <c r="H16" s="29" t="n">
        <v>2020</v>
      </c>
      <c r="I16" s="29" t="n">
        <v>6</v>
      </c>
      <c r="J16" s="29" t="n">
        <v>6</v>
      </c>
      <c r="K16" s="29" t="n"/>
    </row>
    <row r="17">
      <c r="A17" s="29" t="inlineStr">
        <is>
          <t>오일러</t>
        </is>
      </c>
      <c r="B17" s="29" t="n"/>
      <c r="C17" s="29" t="inlineStr">
        <is>
          <t>출석</t>
        </is>
      </c>
      <c r="D17" s="29" t="n"/>
      <c r="E17" s="29" t="inlineStr">
        <is>
          <t>출석</t>
        </is>
      </c>
      <c r="F17" s="29" t="n"/>
      <c r="H17" s="29" t="n">
        <v>2019</v>
      </c>
      <c r="I17" s="29" t="n">
        <v>5</v>
      </c>
      <c r="J17" s="29" t="n">
        <v>7</v>
      </c>
      <c r="K17" s="29" t="n"/>
    </row>
    <row r="18">
      <c r="A18" s="29" t="inlineStr">
        <is>
          <t>페르마</t>
        </is>
      </c>
      <c r="B18" s="29" t="inlineStr">
        <is>
          <t>출석</t>
        </is>
      </c>
      <c r="C18" s="29" t="inlineStr">
        <is>
          <t>출석</t>
        </is>
      </c>
      <c r="D18" s="29" t="n"/>
      <c r="E18" s="29" t="n"/>
      <c r="F18" s="29" t="n"/>
      <c r="H18" s="29" t="n">
        <v>2018</v>
      </c>
      <c r="I18" s="29" t="n">
        <v>4</v>
      </c>
      <c r="J18" s="29" t="n">
        <v>8</v>
      </c>
      <c r="K18" s="29" t="n"/>
    </row>
    <row r="19">
      <c r="H19" s="29" t="n">
        <v>2017</v>
      </c>
      <c r="I19" s="29" t="n">
        <v>3</v>
      </c>
      <c r="J19" s="29" t="n">
        <v>9</v>
      </c>
      <c r="K19" s="29" t="n"/>
    </row>
    <row r="20">
      <c r="H20" s="29" t="n">
        <v>2016</v>
      </c>
      <c r="I20" s="29" t="n">
        <v>1</v>
      </c>
      <c r="J20" s="29" t="n">
        <v>26</v>
      </c>
      <c r="K20" s="29" t="n"/>
    </row>
    <row r="22">
      <c r="A22" t="inlineStr">
        <is>
          <t>[표5]</t>
        </is>
      </c>
    </row>
    <row r="23">
      <c r="A23" s="28" t="inlineStr">
        <is>
          <t>영업사원</t>
        </is>
      </c>
      <c r="B23" s="28" t="inlineStr">
        <is>
          <t>영업지역</t>
        </is>
      </c>
      <c r="C23" s="28" t="inlineStr">
        <is>
          <t>영업수익</t>
        </is>
      </c>
      <c r="E23" s="28" t="inlineStr">
        <is>
          <t>아시아지역 수익 합계</t>
        </is>
      </c>
      <c r="F23" s="30" t="n"/>
      <c r="G23" s="31" t="n"/>
    </row>
    <row r="24">
      <c r="A24" s="29" t="inlineStr">
        <is>
          <t>김부장</t>
        </is>
      </c>
      <c r="B24" s="29" t="inlineStr">
        <is>
          <t>아시아</t>
        </is>
      </c>
      <c r="C24" s="29" t="n">
        <v>50000000</v>
      </c>
      <c r="E24" s="29" t="n"/>
      <c r="F24" s="30" t="n"/>
      <c r="G24" s="31" t="n"/>
    </row>
    <row r="25">
      <c r="A25" s="29" t="inlineStr">
        <is>
          <t>최과장</t>
        </is>
      </c>
      <c r="B25" s="29" t="inlineStr">
        <is>
          <t>유럽</t>
        </is>
      </c>
      <c r="C25" s="29" t="n">
        <v>30000000</v>
      </c>
    </row>
    <row r="26">
      <c r="A26" s="29" t="inlineStr">
        <is>
          <t>박차장</t>
        </is>
      </c>
      <c r="B26" s="29" t="inlineStr">
        <is>
          <t>아시아</t>
        </is>
      </c>
      <c r="C26" s="29" t="n">
        <v>5000000</v>
      </c>
    </row>
    <row r="27">
      <c r="A27" s="29" t="inlineStr">
        <is>
          <t>정대리</t>
        </is>
      </c>
      <c r="B27" s="29" t="inlineStr">
        <is>
          <t>유럽</t>
        </is>
      </c>
      <c r="C27" s="29" t="n">
        <v>30000000</v>
      </c>
    </row>
    <row r="28">
      <c r="A28" s="29" t="inlineStr">
        <is>
          <t>이실장</t>
        </is>
      </c>
      <c r="B28" s="29" t="inlineStr">
        <is>
          <t>유럽</t>
        </is>
      </c>
      <c r="C28" s="29" t="n">
        <v>7000000</v>
      </c>
    </row>
    <row r="29">
      <c r="A29" s="29" t="inlineStr">
        <is>
          <t>정인턴</t>
        </is>
      </c>
      <c r="B29" s="29" t="inlineStr">
        <is>
          <t>아시아</t>
        </is>
      </c>
      <c r="C29" s="29" t="n">
        <v>1000000</v>
      </c>
    </row>
    <row r="30">
      <c r="A30" s="29" t="inlineStr">
        <is>
          <t>유대리</t>
        </is>
      </c>
      <c r="B30" s="29" t="inlineStr">
        <is>
          <t>유럽</t>
        </is>
      </c>
      <c r="C30" s="29" t="n">
        <v>35000000</v>
      </c>
    </row>
  </sheetData>
  <mergeCells count="2">
    <mergeCell ref="E24:G24"/>
    <mergeCell ref="E23:G2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12">
    <outlinePr summaryBelow="1" summaryRight="1"/>
    <pageSetUpPr/>
  </sheetPr>
  <dimension ref="A1:F12"/>
  <sheetViews>
    <sheetView workbookViewId="0">
      <selection activeCell="F13" sqref="F13"/>
    </sheetView>
  </sheetViews>
  <sheetFormatPr baseColWidth="8" defaultRowHeight="16.5"/>
  <cols>
    <col width="15.875" bestFit="1" customWidth="1" style="2" min="2" max="2"/>
  </cols>
  <sheetData>
    <row r="1">
      <c r="A1" t="inlineStr">
        <is>
          <t>JIU서점 도서 판매 현황</t>
        </is>
      </c>
    </row>
    <row r="2">
      <c r="A2" s="28" t="inlineStr">
        <is>
          <t>도서코드</t>
        </is>
      </c>
      <c r="B2" s="28" t="inlineStr">
        <is>
          <t>도서명</t>
        </is>
      </c>
      <c r="C2" s="28" t="inlineStr">
        <is>
          <t>출판사</t>
        </is>
      </c>
      <c r="D2" s="28" t="inlineStr">
        <is>
          <t>가격</t>
        </is>
      </c>
      <c r="E2" s="28" t="inlineStr">
        <is>
          <t>재고량</t>
        </is>
      </c>
    </row>
    <row r="3">
      <c r="A3" s="29" t="inlineStr">
        <is>
          <t>AA3141</t>
        </is>
      </c>
      <c r="B3" s="29" t="inlineStr">
        <is>
          <t>초등용 미분</t>
        </is>
      </c>
      <c r="C3" s="29" t="inlineStr">
        <is>
          <t>동글동글</t>
        </is>
      </c>
      <c r="D3" s="29" t="n">
        <v>12000</v>
      </c>
      <c r="E3" s="29" t="n">
        <v>50</v>
      </c>
    </row>
    <row r="4">
      <c r="A4" s="29" t="inlineStr">
        <is>
          <t>CB5926</t>
        </is>
      </c>
      <c r="B4" s="29" t="inlineStr">
        <is>
          <t>미래의 감자칩</t>
        </is>
      </c>
      <c r="C4" s="29" t="inlineStr">
        <is>
          <t>세모세모</t>
        </is>
      </c>
      <c r="D4" s="29" t="n">
        <v>20000</v>
      </c>
      <c r="E4" s="29" t="n">
        <v>30</v>
      </c>
    </row>
    <row r="5">
      <c r="A5" s="29" t="inlineStr">
        <is>
          <t>AC5358</t>
        </is>
      </c>
      <c r="B5" s="29" t="inlineStr">
        <is>
          <t>제타함수 기초</t>
        </is>
      </c>
      <c r="C5" s="29" t="inlineStr">
        <is>
          <t>동글동글</t>
        </is>
      </c>
      <c r="D5" s="29" t="n">
        <v>9800</v>
      </c>
      <c r="E5" s="29" t="n">
        <v>50</v>
      </c>
    </row>
    <row r="6">
      <c r="A6" s="29" t="inlineStr">
        <is>
          <t>DV9793</t>
        </is>
      </c>
      <c r="B6" s="29" t="inlineStr">
        <is>
          <t>역사 속 감자칩</t>
        </is>
      </c>
      <c r="C6" s="29" t="inlineStr">
        <is>
          <t>세모세모</t>
        </is>
      </c>
      <c r="D6" s="29" t="n">
        <v>11500</v>
      </c>
      <c r="E6" s="29" t="n">
        <v>30</v>
      </c>
    </row>
    <row r="7">
      <c r="A7" s="29" t="inlineStr">
        <is>
          <t>PC2384</t>
        </is>
      </c>
      <c r="B7" s="29" t="inlineStr">
        <is>
          <t>삼각함수 가이드</t>
        </is>
      </c>
      <c r="C7" s="29" t="inlineStr">
        <is>
          <t>동글동글</t>
        </is>
      </c>
      <c r="D7" s="29" t="n">
        <v>9950</v>
      </c>
      <c r="E7" s="29" t="n">
        <v>25</v>
      </c>
    </row>
    <row r="8">
      <c r="A8" s="29" t="inlineStr">
        <is>
          <t>GG6264</t>
        </is>
      </c>
      <c r="B8" s="29" t="inlineStr">
        <is>
          <t>성경</t>
        </is>
      </c>
      <c r="C8" s="29" t="inlineStr">
        <is>
          <t>네모네모</t>
        </is>
      </c>
      <c r="D8" s="29" t="n">
        <v>13000</v>
      </c>
      <c r="E8" s="29" t="n">
        <v>65</v>
      </c>
    </row>
    <row r="9">
      <c r="A9" s="29" t="inlineStr">
        <is>
          <t>CQ3383</t>
        </is>
      </c>
      <c r="B9" s="29" t="inlineStr">
        <is>
          <t>쿠란</t>
        </is>
      </c>
      <c r="C9" s="29" t="inlineStr">
        <is>
          <t>네모네모</t>
        </is>
      </c>
      <c r="D9" s="29" t="n">
        <v>11000</v>
      </c>
      <c r="E9" s="29" t="n">
        <v>34</v>
      </c>
    </row>
    <row r="10">
      <c r="A10" s="29" t="inlineStr">
        <is>
          <t>BC2795</t>
        </is>
      </c>
      <c r="B10" s="29" t="inlineStr">
        <is>
          <t>감자칩 로맨스</t>
        </is>
      </c>
      <c r="C10" s="29" t="inlineStr">
        <is>
          <t>세모세모</t>
        </is>
      </c>
      <c r="D10" s="29" t="n">
        <v>13000</v>
      </c>
      <c r="E10" s="1" t="n">
        <v>52</v>
      </c>
    </row>
    <row r="11">
      <c r="A11" s="29" t="inlineStr">
        <is>
          <t>QQ0288</t>
        </is>
      </c>
      <c r="B11" s="29" t="inlineStr">
        <is>
          <t>세계 감자칩 모음</t>
        </is>
      </c>
      <c r="C11" s="29" t="inlineStr">
        <is>
          <t>세모세모</t>
        </is>
      </c>
      <c r="D11" s="29" t="n">
        <v>25000</v>
      </c>
      <c r="E11" s="1" t="n">
        <v>63</v>
      </c>
    </row>
    <row r="12">
      <c r="A12" s="29" t="inlineStr">
        <is>
          <t>AL4197</t>
        </is>
      </c>
      <c r="B12" s="29" t="inlineStr">
        <is>
          <t>원주율 1만자리</t>
        </is>
      </c>
      <c r="C12" s="29" t="inlineStr">
        <is>
          <t>동글동글</t>
        </is>
      </c>
      <c r="D12" s="29" t="n">
        <v>5000</v>
      </c>
      <c r="E12" s="1" t="n">
        <v>50</v>
      </c>
    </row>
  </sheetData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9"/>
  <sheetViews>
    <sheetView workbookViewId="0">
      <selection activeCell="D3" sqref="D3"/>
    </sheetView>
  </sheetViews>
  <sheetFormatPr baseColWidth="8" defaultRowHeight="16.5"/>
  <cols>
    <col width="16.5" bestFit="1" customWidth="1" style="2" min="1" max="1"/>
  </cols>
  <sheetData>
    <row r="1">
      <c r="A1" s="0" t="inlineStr">
        <is>
          <t>지점별 실적 관리</t>
        </is>
      </c>
    </row>
    <row r="2">
      <c r="A2" s="24" t="inlineStr">
        <is>
          <t>지점</t>
        </is>
      </c>
      <c r="B2" s="24" t="inlineStr">
        <is>
          <t>목표</t>
        </is>
      </c>
      <c r="C2" s="24" t="inlineStr">
        <is>
          <t>실적</t>
        </is>
      </c>
      <c r="D2" s="24" t="inlineStr">
        <is>
          <t>달성율</t>
        </is>
      </c>
    </row>
    <row r="3">
      <c r="A3" s="1" t="inlineStr">
        <is>
          <t>서울1호점</t>
        </is>
      </c>
      <c r="B3" s="1" t="n">
        <v>100</v>
      </c>
      <c r="C3" s="1" t="n">
        <v>103</v>
      </c>
      <c r="D3" s="32" t="n">
        <v>1.03</v>
      </c>
    </row>
    <row r="4">
      <c r="A4" s="1" t="inlineStr">
        <is>
          <t>서울2호점</t>
        </is>
      </c>
      <c r="B4" s="1" t="n">
        <v>100</v>
      </c>
      <c r="C4" s="1" t="n">
        <v>84</v>
      </c>
      <c r="D4" s="32" t="n">
        <v>0.84</v>
      </c>
    </row>
    <row r="5">
      <c r="A5" s="1" t="inlineStr">
        <is>
          <t>부산1호점</t>
        </is>
      </c>
      <c r="B5" s="1" t="n">
        <v>100</v>
      </c>
      <c r="C5" s="1" t="n">
        <v>93</v>
      </c>
      <c r="D5" s="32" t="n">
        <v>0.93</v>
      </c>
    </row>
    <row r="6">
      <c r="A6" s="1" t="inlineStr">
        <is>
          <t>제주1호점</t>
        </is>
      </c>
      <c r="B6" s="1" t="n">
        <v>100</v>
      </c>
      <c r="C6" s="1" t="n">
        <v>68</v>
      </c>
      <c r="D6" s="32" t="n">
        <v>0.68</v>
      </c>
    </row>
    <row r="7">
      <c r="A7" s="1" t="inlineStr">
        <is>
          <t>울릉도지점</t>
        </is>
      </c>
      <c r="B7" s="1" t="n">
        <v>100</v>
      </c>
      <c r="C7" s="1" t="n">
        <v>100</v>
      </c>
      <c r="D7" s="32" t="n">
        <v>1</v>
      </c>
    </row>
    <row r="8">
      <c r="A8" s="1" t="inlineStr">
        <is>
          <t>미국진출지점</t>
        </is>
      </c>
      <c r="B8" s="1" t="n">
        <v>100</v>
      </c>
      <c r="C8" s="1" t="n">
        <v>45</v>
      </c>
      <c r="D8" s="32" t="n">
        <v>0.45</v>
      </c>
    </row>
    <row r="9">
      <c r="A9" s="24" t="inlineStr">
        <is>
          <t>합계</t>
        </is>
      </c>
      <c r="B9" s="1">
        <f>SUM(B3:B8)</f>
        <v/>
      </c>
      <c r="C9" s="1">
        <f>SUM(C3:C8)</f>
        <v/>
      </c>
      <c r="D9" s="32">
        <f>SUM(D3:D8)/6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2">
    <outlinePr summaryBelow="1" summaryRight="1"/>
    <pageSetUpPr/>
  </sheetPr>
  <dimension ref="A1:E9"/>
  <sheetViews>
    <sheetView workbookViewId="0">
      <selection activeCell="F10" sqref="F10"/>
    </sheetView>
  </sheetViews>
  <sheetFormatPr baseColWidth="8" defaultRowHeight="16.5"/>
  <cols>
    <col width="9" customWidth="1" style="16" min="1" max="16384"/>
  </cols>
  <sheetData>
    <row r="1">
      <c r="A1" s="16" t="inlineStr">
        <is>
          <t>[표1] 금속부대 결승</t>
        </is>
      </c>
    </row>
    <row r="3">
      <c r="A3" s="17" t="inlineStr">
        <is>
          <t>선수명</t>
        </is>
      </c>
      <c r="B3" s="17" t="inlineStr">
        <is>
          <t>부대</t>
        </is>
      </c>
      <c r="C3" s="17" t="inlineStr">
        <is>
          <t>사격</t>
        </is>
      </c>
      <c r="D3" s="17" t="inlineStr">
        <is>
          <t>장애물</t>
        </is>
      </c>
      <c r="E3" s="17" t="inlineStr">
        <is>
          <t>중간합산</t>
        </is>
      </c>
    </row>
    <row r="4">
      <c r="A4" s="17" t="inlineStr">
        <is>
          <t>이**</t>
        </is>
      </c>
      <c r="B4" s="17" t="inlineStr">
        <is>
          <t>UBD</t>
        </is>
      </c>
      <c r="C4" s="17" t="n">
        <v>95</v>
      </c>
      <c r="D4" s="17" t="n">
        <v>70</v>
      </c>
      <c r="E4" s="17" t="n"/>
    </row>
    <row r="5">
      <c r="A5" s="17" t="inlineStr">
        <is>
          <t>김**</t>
        </is>
      </c>
      <c r="B5" s="17" t="inlineStr">
        <is>
          <t>UBD</t>
        </is>
      </c>
      <c r="C5" s="17" t="n">
        <v>80</v>
      </c>
      <c r="D5" s="17" t="n">
        <v>75</v>
      </c>
      <c r="E5" s="17" t="n"/>
    </row>
    <row r="6">
      <c r="A6" s="17" t="inlineStr">
        <is>
          <t>박**</t>
        </is>
      </c>
      <c r="B6" s="17" t="inlineStr">
        <is>
          <t>UBD</t>
        </is>
      </c>
      <c r="C6" s="17" t="n">
        <v>85</v>
      </c>
      <c r="D6" s="17" t="n">
        <v>80</v>
      </c>
      <c r="E6" s="17" t="n"/>
    </row>
    <row r="7">
      <c r="A7" s="17" t="inlineStr">
        <is>
          <t>이**</t>
        </is>
      </c>
      <c r="B7" s="17" t="n">
        <v>808</v>
      </c>
      <c r="C7" s="17" t="n">
        <v>80</v>
      </c>
      <c r="D7" s="17" t="n">
        <v>80</v>
      </c>
      <c r="E7" s="17" t="n"/>
    </row>
    <row r="8">
      <c r="A8" s="17" t="inlineStr">
        <is>
          <t>최**</t>
        </is>
      </c>
      <c r="B8" s="17" t="n">
        <v>808</v>
      </c>
      <c r="C8" s="17" t="n">
        <v>95</v>
      </c>
      <c r="D8" s="17" t="n">
        <v>75</v>
      </c>
      <c r="E8" s="17" t="n"/>
    </row>
    <row r="9">
      <c r="A9" s="17" t="inlineStr">
        <is>
          <t>정**</t>
        </is>
      </c>
      <c r="B9" s="17" t="n">
        <v>808</v>
      </c>
      <c r="C9" s="17" t="n">
        <v>85</v>
      </c>
      <c r="D9" s="17" t="n">
        <v>70</v>
      </c>
      <c r="E9" s="17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0">
    <outlinePr summaryBelow="1" summaryRight="1"/>
    <pageSetUpPr/>
  </sheetPr>
  <dimension ref="A1:E8"/>
  <sheetViews>
    <sheetView workbookViewId="0">
      <selection activeCell="J27" sqref="J27"/>
    </sheetView>
  </sheetViews>
  <sheetFormatPr baseColWidth="8" defaultRowHeight="16.5"/>
  <cols>
    <col width="9" customWidth="1" style="16" min="1" max="16384"/>
  </cols>
  <sheetData>
    <row r="1">
      <c r="A1" s="16" t="inlineStr">
        <is>
          <t>빠진 머리카락 개수 기록지</t>
        </is>
      </c>
    </row>
    <row r="3">
      <c r="A3" s="12" t="inlineStr">
        <is>
          <t>이름</t>
        </is>
      </c>
      <c r="B3" s="12" t="inlineStr">
        <is>
          <t>1회</t>
        </is>
      </c>
      <c r="C3" s="12" t="inlineStr">
        <is>
          <t>2회</t>
        </is>
      </c>
      <c r="D3" s="12" t="inlineStr">
        <is>
          <t>3회</t>
        </is>
      </c>
      <c r="E3" s="12" t="inlineStr">
        <is>
          <t>4회</t>
        </is>
      </c>
    </row>
    <row r="4">
      <c r="A4" s="13" t="inlineStr">
        <is>
          <t>김모발</t>
        </is>
      </c>
      <c r="B4" s="13" t="n">
        <v>13</v>
      </c>
      <c r="C4" s="13" t="n">
        <v>20</v>
      </c>
      <c r="D4" s="13" t="n">
        <v>24</v>
      </c>
      <c r="E4" s="13" t="n">
        <v>40</v>
      </c>
    </row>
    <row r="5">
      <c r="A5" s="13" t="inlineStr">
        <is>
          <t>최풍성</t>
        </is>
      </c>
      <c r="B5" s="13" t="n">
        <v>12</v>
      </c>
      <c r="C5" s="13" t="n">
        <v>14</v>
      </c>
      <c r="D5" s="13" t="n">
        <v>13</v>
      </c>
      <c r="E5" s="13" t="n">
        <v>8</v>
      </c>
    </row>
    <row r="6">
      <c r="A6" s="13" t="inlineStr">
        <is>
          <t>정찰랑</t>
        </is>
      </c>
      <c r="B6" s="13" t="n">
        <v>15</v>
      </c>
      <c r="C6" s="13" t="n">
        <v>15</v>
      </c>
      <c r="D6" s="13" t="n">
        <v>14</v>
      </c>
      <c r="E6" s="13" t="n">
        <v>10</v>
      </c>
    </row>
    <row r="7">
      <c r="A7" s="13" t="inlineStr">
        <is>
          <t>박반짝</t>
        </is>
      </c>
      <c r="B7" s="13" t="n">
        <v>3</v>
      </c>
      <c r="C7" s="13" t="n">
        <v>0</v>
      </c>
      <c r="D7" s="13" t="n">
        <v>0</v>
      </c>
      <c r="E7" s="13" t="n">
        <v>0</v>
      </c>
    </row>
    <row r="8">
      <c r="A8" s="13" t="inlineStr">
        <is>
          <t>이리듐</t>
        </is>
      </c>
      <c r="B8" s="13" t="n">
        <v>14</v>
      </c>
      <c r="C8" s="13" t="n">
        <v>15</v>
      </c>
      <c r="D8" s="13" t="n">
        <v>10</v>
      </c>
      <c r="E8" s="13" t="n">
        <v>5</v>
      </c>
    </row>
  </sheetData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jiwoo</dc:creator>
  <dcterms:created xmlns:dcterms="http://purl.org/dc/terms/" xmlns:xsi="http://www.w3.org/2001/XMLSchema-instance" xsi:type="dcterms:W3CDTF">2021-02-23T04:31:45Z</dcterms:created>
  <dcterms:modified xmlns:dcterms="http://purl.org/dc/terms/" xmlns:xsi="http://www.w3.org/2001/XMLSchema-instance" xsi:type="dcterms:W3CDTF">2026-06-06T06:34:19Z</dcterms:modified>
  <cp:lastModifiedBy>Administrator</cp:lastModifiedBy>
</cp:coreProperties>
</file>