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11620" yWindow="2760" windowWidth="22580" windowHeight="14520" tabRatio="922" firstSheet="6" autoFilterDateGrouping="1"/>
  </bookViews>
  <sheets>
    <sheet xmlns:r="http://schemas.openxmlformats.org/officeDocument/2006/relationships" name="기본작업-1" sheetId="1" state="visible" r:id="rId1"/>
    <sheet xmlns:r="http://schemas.openxmlformats.org/officeDocument/2006/relationships" name="기본작업-2" sheetId="2" state="visible" r:id="rId2"/>
    <sheet xmlns:r="http://schemas.openxmlformats.org/officeDocument/2006/relationships" name="기본작업-3" sheetId="3" state="visible" r:id="rId3"/>
    <sheet xmlns:r="http://schemas.openxmlformats.org/officeDocument/2006/relationships" name="계산작업" sheetId="4" state="visible" r:id="rId4"/>
    <sheet xmlns:r="http://schemas.openxmlformats.org/officeDocument/2006/relationships" name="분석작업-1" sheetId="5" state="visible" r:id="rId5"/>
    <sheet xmlns:r="http://schemas.openxmlformats.org/officeDocument/2006/relationships" name="분석작업-2" sheetId="6" state="visible" r:id="rId6"/>
    <sheet xmlns:r="http://schemas.openxmlformats.org/officeDocument/2006/relationships" name="매크로작업" sheetId="7" state="visible" r:id="rId7"/>
    <sheet xmlns:r="http://schemas.openxmlformats.org/officeDocument/2006/relationships" name="차트작업" sheetId="8" state="visible" r:id="rId8"/>
  </sheets>
  <definedNames/>
  <calcPr calcId="191029" fullCalcOnLoad="1"/>
</workbook>
</file>

<file path=xl/styles.xml><?xml version="1.0" encoding="utf-8"?>
<styleSheet xmlns="http://schemas.openxmlformats.org/spreadsheetml/2006/main">
  <numFmts count="2">
    <numFmt numFmtId="164" formatCode="_-&quot;₩&quot;* #,##0_-;\-&quot;₩&quot;* #,##0_-;_-&quot;₩&quot;* &quot;-&quot;_-;_-@_-"/>
    <numFmt numFmtId="165" formatCode="_-* #,##0_-;\-* #,##0_-;_-* &quot;-&quot;_-;_-@_-"/>
  </numFmts>
  <fonts count="18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3"/>
      <color theme="1"/>
      <sz val="11"/>
      <scheme val="major"/>
    </font>
    <font>
      <name val="Tahoma"/>
      <family val="2"/>
      <b val="1"/>
      <color indexed="81"/>
      <sz val="9"/>
    </font>
    <font>
      <name val="돋움"/>
      <charset val="129"/>
      <family val="3"/>
      <b val="1"/>
      <color indexed="81"/>
      <sz val="9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3"/>
      <color theme="1"/>
      <sz val="11"/>
      <scheme val="minor"/>
    </font>
    <font>
      <name val="돋움"/>
      <charset val="129"/>
      <family val="3"/>
      <sz val="8"/>
    </font>
    <font>
      <name val="맑은 고딕"/>
      <charset val="129"/>
      <family val="2"/>
      <color indexed="9"/>
      <sz val="11"/>
      <scheme val="minor"/>
    </font>
    <font>
      <name val="맑은 고딕"/>
      <charset val="129"/>
      <family val="3"/>
      <color indexed="9"/>
      <sz val="11"/>
      <scheme val="minor"/>
    </font>
    <font>
      <name val="맑은 고딕"/>
      <charset val="129"/>
      <family val="2"/>
      <color indexed="8"/>
      <sz val="11"/>
      <scheme val="minor"/>
    </font>
    <font>
      <name val="맑은 고딕"/>
      <charset val="129"/>
      <family val="2"/>
      <color indexed="18"/>
      <sz val="11"/>
      <scheme val="minor"/>
    </font>
    <font>
      <name val="맑은 고딕"/>
      <charset val="129"/>
      <family val="3"/>
      <color indexed="18"/>
      <sz val="11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color theme="1"/>
      <sz val="11"/>
    </font>
    <font>
      <name val="돋움"/>
      <charset val="129"/>
      <family val="3"/>
      <b val="1"/>
      <color theme="1"/>
      <sz val="12"/>
    </font>
    <font>
      <name val="맑은 고딕"/>
      <charset val="129"/>
      <family val="2"/>
      <color rgb="FF000000"/>
      <sz val="11"/>
    </font>
  </fonts>
  <fills count="11">
    <fill>
      <patternFill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8" tint="0.7999816888943144"/>
        <bgColor indexed="65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  <fill>
      <patternFill patternType="solid">
        <fgColor rgb="FF92D050"/>
        <bgColor indexed="64"/>
      </patternFill>
    </fill>
    <fill>
      <patternFill patternType="solid">
        <fgColor theme="2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5" fillId="0" borderId="0" applyAlignment="1">
      <alignment vertical="center"/>
    </xf>
    <xf numFmtId="165" fontId="5" fillId="0" borderId="0" applyAlignment="1">
      <alignment vertical="center"/>
    </xf>
    <xf numFmtId="164" fontId="5" fillId="0" borderId="0" applyAlignment="1">
      <alignment vertical="center"/>
    </xf>
    <xf numFmtId="0" fontId="5" fillId="4" borderId="0" applyAlignment="1">
      <alignment vertical="center"/>
    </xf>
    <xf numFmtId="0" fontId="5" fillId="5" borderId="0" applyAlignment="1">
      <alignment vertical="center"/>
    </xf>
  </cellStyleXfs>
  <cellXfs count="83">
    <xf numFmtId="0" fontId="0" fillId="0" borderId="0" applyAlignment="1" pivotButton="0" quotePrefix="0" xfId="0">
      <alignment vertical="center"/>
    </xf>
    <xf numFmtId="0" fontId="2" fillId="0" borderId="0" applyAlignment="1" pivotButton="0" quotePrefix="0" xfId="0">
      <alignment horizontal="left" vertical="center"/>
    </xf>
    <xf numFmtId="0" fontId="2" fillId="0" borderId="0" applyAlignment="1" pivotButton="0" quotePrefix="0" xfId="0">
      <alignment horizontal="center" vertical="center"/>
    </xf>
    <xf numFmtId="0" fontId="2" fillId="0" borderId="0" applyAlignment="1" pivotButton="0" quotePrefix="0" xfId="0">
      <alignment vertical="center"/>
    </xf>
    <xf numFmtId="0" fontId="0" fillId="0" borderId="0" applyAlignment="1" pivotButton="0" quotePrefix="0" xfId="0">
      <alignment horizontal="center" vertical="center"/>
    </xf>
    <xf numFmtId="14" fontId="0" fillId="0" borderId="0" applyAlignment="1" pivotButton="0" quotePrefix="0" xfId="0">
      <alignment vertical="center"/>
    </xf>
    <xf numFmtId="3" fontId="0" fillId="0" borderId="0" applyAlignment="1" pivotButton="0" quotePrefix="0" xfId="0">
      <alignment vertical="center"/>
    </xf>
    <xf numFmtId="0" fontId="0" fillId="0" borderId="0" applyAlignment="1" pivotButton="0" quotePrefix="0" xfId="0">
      <alignment horizontal="centerContinuous" vertical="center"/>
    </xf>
    <xf numFmtId="0" fontId="0" fillId="0" borderId="1" applyAlignment="1" pivotButton="0" quotePrefix="0" xfId="0">
      <alignment horizontal="center" vertical="center"/>
    </xf>
    <xf numFmtId="14" fontId="0" fillId="0" borderId="1" applyAlignment="1" pivotButton="0" quotePrefix="0" xfId="0">
      <alignment vertical="center"/>
    </xf>
    <xf numFmtId="164" fontId="0" fillId="0" borderId="1" applyAlignment="1" pivotButton="0" quotePrefix="0" xfId="2">
      <alignment vertical="center"/>
    </xf>
    <xf numFmtId="0" fontId="0" fillId="0" borderId="5" applyAlignment="1" pivotButton="0" quotePrefix="0" xfId="0">
      <alignment horizontal="center" vertical="center"/>
    </xf>
    <xf numFmtId="0" fontId="0" fillId="0" borderId="6" applyAlignment="1" pivotButton="0" quotePrefix="0" xfId="0">
      <alignment horizontal="center" vertical="center"/>
    </xf>
    <xf numFmtId="0" fontId="0" fillId="0" borderId="7" applyAlignment="1" pivotButton="0" quotePrefix="0" xfId="0">
      <alignment horizontal="center" vertical="center"/>
    </xf>
    <xf numFmtId="0" fontId="0" fillId="0" borderId="8" applyAlignment="1" pivotButton="0" quotePrefix="0" xfId="0">
      <alignment horizontal="center" vertical="center"/>
    </xf>
    <xf numFmtId="14" fontId="0" fillId="0" borderId="8" applyAlignment="1" pivotButton="0" quotePrefix="0" xfId="0">
      <alignment vertical="center"/>
    </xf>
    <xf numFmtId="164" fontId="0" fillId="0" borderId="8" applyAlignment="1" pivotButton="0" quotePrefix="0" xfId="2">
      <alignment vertical="center"/>
    </xf>
    <xf numFmtId="0" fontId="0" fillId="0" borderId="9" applyAlignment="1" pivotButton="0" quotePrefix="0" xfId="0">
      <alignment horizontal="center" vertical="center"/>
    </xf>
    <xf numFmtId="0" fontId="0" fillId="0" borderId="1" applyAlignment="1" pivotButton="0" quotePrefix="0" xfId="0">
      <alignment vertical="center"/>
    </xf>
    <xf numFmtId="165" fontId="0" fillId="0" borderId="1" applyAlignment="1" pivotButton="0" quotePrefix="0" xfId="1">
      <alignment vertical="center"/>
    </xf>
    <xf numFmtId="0" fontId="0" fillId="0" borderId="2" applyAlignment="1" pivotButton="0" quotePrefix="0" xfId="0">
      <alignment vertical="center"/>
    </xf>
    <xf numFmtId="0" fontId="0" fillId="0" borderId="3" applyAlignment="1" pivotButton="0" quotePrefix="0" xfId="0">
      <alignment vertical="center"/>
    </xf>
    <xf numFmtId="0" fontId="0" fillId="0" borderId="3" applyAlignment="1" pivotButton="0" quotePrefix="0" xfId="0">
      <alignment horizontal="center" vertical="center"/>
    </xf>
    <xf numFmtId="0" fontId="0" fillId="0" borderId="4" applyAlignment="1" pivotButton="0" quotePrefix="0" xfId="0">
      <alignment horizontal="center" vertical="center"/>
    </xf>
    <xf numFmtId="0" fontId="0" fillId="0" borderId="5" applyAlignment="1" pivotButton="0" quotePrefix="0" xfId="0">
      <alignment vertical="center"/>
    </xf>
    <xf numFmtId="0" fontId="0" fillId="0" borderId="6" applyAlignment="1" pivotButton="0" quotePrefix="0" xfId="0">
      <alignment vertical="center"/>
    </xf>
    <xf numFmtId="0" fontId="0" fillId="0" borderId="7" applyAlignment="1" pivotButton="0" quotePrefix="0" xfId="0">
      <alignment vertical="center"/>
    </xf>
    <xf numFmtId="0" fontId="0" fillId="0" borderId="8" applyAlignment="1" pivotButton="0" quotePrefix="0" xfId="0">
      <alignment vertical="center"/>
    </xf>
    <xf numFmtId="165" fontId="0" fillId="0" borderId="8" applyAlignment="1" pivotButton="0" quotePrefix="0" xfId="1">
      <alignment vertical="center"/>
    </xf>
    <xf numFmtId="0" fontId="0" fillId="0" borderId="9" applyAlignment="1" pivotButton="0" quotePrefix="0" xfId="0">
      <alignment vertical="center"/>
    </xf>
    <xf numFmtId="0" fontId="6" fillId="0" borderId="0" applyAlignment="1" pivotButton="0" quotePrefix="0" xfId="0">
      <alignment horizontal="left" vertical="center"/>
    </xf>
    <xf numFmtId="0" fontId="6" fillId="0" borderId="0" applyAlignment="1" pivotButton="0" quotePrefix="0" xfId="0">
      <alignment horizontal="center" vertical="center"/>
    </xf>
    <xf numFmtId="0" fontId="6" fillId="0" borderId="1" applyAlignment="1" pivotButton="0" quotePrefix="0" xfId="0">
      <alignment horizontal="center" vertical="center"/>
    </xf>
    <xf numFmtId="0" fontId="6" fillId="0" borderId="1" applyAlignment="1" pivotButton="0" quotePrefix="0" xfId="1">
      <alignment horizontal="center" vertical="center"/>
    </xf>
    <xf numFmtId="164" fontId="6" fillId="0" borderId="1" applyAlignment="1" pivotButton="0" quotePrefix="0" xfId="2">
      <alignment horizontal="center" vertical="center"/>
    </xf>
    <xf numFmtId="0" fontId="6" fillId="3" borderId="1" applyAlignment="1" pivotButton="0" quotePrefix="0" xfId="0">
      <alignment horizontal="center" vertical="center"/>
    </xf>
    <xf numFmtId="0" fontId="0" fillId="3" borderId="1" applyAlignment="1" pivotButton="0" quotePrefix="0" xfId="0">
      <alignment horizontal="center" vertical="center"/>
    </xf>
    <xf numFmtId="165" fontId="0" fillId="0" borderId="1" applyAlignment="1" pivotButton="0" quotePrefix="0" xfId="1">
      <alignment horizontal="center" vertical="center"/>
    </xf>
    <xf numFmtId="0" fontId="0" fillId="0" borderId="10" applyAlignment="1" pivotButton="0" quotePrefix="0" xfId="0">
      <alignment horizontal="center" vertical="center"/>
    </xf>
    <xf numFmtId="0" fontId="0" fillId="0" borderId="2" applyAlignment="1" pivotButton="0" quotePrefix="0" xfId="0">
      <alignment horizontal="center" vertical="center"/>
    </xf>
    <xf numFmtId="2" fontId="0" fillId="0" borderId="1" applyAlignment="1" pivotButton="0" quotePrefix="0" xfId="0">
      <alignment vertical="center"/>
    </xf>
    <xf numFmtId="0" fontId="9" fillId="6" borderId="13" applyAlignment="1" pivotButton="0" quotePrefix="0" xfId="0">
      <alignment horizontal="left" vertical="center"/>
    </xf>
    <xf numFmtId="0" fontId="8" fillId="6" borderId="11" applyAlignment="1" pivotButton="0" quotePrefix="0" xfId="0">
      <alignment horizontal="left" vertical="center"/>
    </xf>
    <xf numFmtId="0" fontId="9" fillId="6" borderId="11" applyAlignment="1" pivotButton="0" quotePrefix="0" xfId="0">
      <alignment horizontal="left" vertical="center"/>
    </xf>
    <xf numFmtId="0" fontId="0" fillId="0" borderId="14" applyAlignment="1" pivotButton="0" quotePrefix="0" xfId="0">
      <alignment vertical="center"/>
    </xf>
    <xf numFmtId="0" fontId="10" fillId="7" borderId="0" applyAlignment="1" pivotButton="0" quotePrefix="0" xfId="0">
      <alignment horizontal="left" vertical="center"/>
    </xf>
    <xf numFmtId="0" fontId="11" fillId="7" borderId="14" applyAlignment="1" pivotButton="0" quotePrefix="0" xfId="0">
      <alignment horizontal="left" vertical="center"/>
    </xf>
    <xf numFmtId="0" fontId="12" fillId="7" borderId="14" applyAlignment="1" pivotButton="0" quotePrefix="0" xfId="0">
      <alignment horizontal="left" vertical="center"/>
    </xf>
    <xf numFmtId="0" fontId="8" fillId="6" borderId="11" applyAlignment="1" pivotButton="0" quotePrefix="0" xfId="0">
      <alignment horizontal="right" vertical="center"/>
    </xf>
    <xf numFmtId="0" fontId="8" fillId="6" borderId="13" applyAlignment="1" pivotButton="0" quotePrefix="0" xfId="0">
      <alignment horizontal="right" vertical="center"/>
    </xf>
    <xf numFmtId="0" fontId="13" fillId="0" borderId="0" applyAlignment="1" pivotButton="0" quotePrefix="0" xfId="0">
      <alignment vertical="top" wrapText="1"/>
    </xf>
    <xf numFmtId="2" fontId="0" fillId="0" borderId="0" applyAlignment="1" pivotButton="0" quotePrefix="0" xfId="0">
      <alignment vertical="center"/>
    </xf>
    <xf numFmtId="2" fontId="0" fillId="8" borderId="0" applyAlignment="1" pivotButton="0" quotePrefix="0" xfId="0">
      <alignment vertical="center"/>
    </xf>
    <xf numFmtId="165" fontId="0" fillId="0" borderId="12" applyAlignment="1" pivotButton="0" quotePrefix="0" xfId="0">
      <alignment vertical="center"/>
    </xf>
    <xf numFmtId="0" fontId="10" fillId="7" borderId="12" applyAlignment="1" pivotButton="0" quotePrefix="0" xfId="0">
      <alignment horizontal="left" vertical="center"/>
    </xf>
    <xf numFmtId="0" fontId="14" fillId="0" borderId="1" applyAlignment="1" pivotButton="0" quotePrefix="0" xfId="0">
      <alignment horizontal="center" vertical="center"/>
    </xf>
    <xf numFmtId="0" fontId="15" fillId="4" borderId="1" applyAlignment="1" pivotButton="0" quotePrefix="0" xfId="3">
      <alignment horizontal="center" vertical="center"/>
    </xf>
    <xf numFmtId="0" fontId="15" fillId="5" borderId="1" applyAlignment="1" pivotButton="0" quotePrefix="0" xfId="4">
      <alignment horizontal="center" vertical="center"/>
    </xf>
    <xf numFmtId="0" fontId="5" fillId="4" borderId="1" applyAlignment="1" pivotButton="0" quotePrefix="0" xfId="3">
      <alignment horizontal="center" vertical="center"/>
    </xf>
    <xf numFmtId="0" fontId="5" fillId="5" borderId="1" applyAlignment="1" pivotButton="0" quotePrefix="0" xfId="4">
      <alignment horizontal="center" vertical="center"/>
    </xf>
    <xf numFmtId="0" fontId="14" fillId="9" borderId="1" applyAlignment="1" pivotButton="0" quotePrefix="0" xfId="0">
      <alignment horizontal="center" vertical="center"/>
    </xf>
    <xf numFmtId="164" fontId="0" fillId="0" borderId="0" applyAlignment="1" pivotButton="0" quotePrefix="0" xfId="2">
      <alignment vertical="center"/>
    </xf>
    <xf numFmtId="0" fontId="0" fillId="0" borderId="0" applyAlignment="1" pivotButton="0" quotePrefix="0" xfId="0">
      <alignment horizontal="left" vertical="center"/>
    </xf>
    <xf numFmtId="0" fontId="2" fillId="10" borderId="0" applyAlignment="1" pivotButton="0" quotePrefix="0" xfId="0">
      <alignment horizontal="left" vertical="center"/>
    </xf>
    <xf numFmtId="0" fontId="14" fillId="2" borderId="1" applyAlignment="1" pivotButton="0" quotePrefix="0" xfId="0">
      <alignment horizontal="center" vertical="center"/>
    </xf>
    <xf numFmtId="0" fontId="16" fillId="2" borderId="2" applyAlignment="1" pivotButton="0" quotePrefix="0" xfId="0">
      <alignment horizontal="center" vertical="center"/>
    </xf>
    <xf numFmtId="0" fontId="16" fillId="2" borderId="3" applyAlignment="1" pivotButton="0" quotePrefix="0" xfId="0">
      <alignment horizontal="center" vertical="center"/>
    </xf>
    <xf numFmtId="0" fontId="16" fillId="2" borderId="4" applyAlignment="1" pivotButton="0" quotePrefix="0" xfId="0">
      <alignment horizontal="center" vertical="center"/>
    </xf>
    <xf numFmtId="0" fontId="0" fillId="3" borderId="1" applyAlignment="1" pivotButton="0" quotePrefix="0" xfId="0">
      <alignment horizontal="center" vertical="center" wrapText="1"/>
    </xf>
    <xf numFmtId="0" fontId="0" fillId="3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0" fontId="0" fillId="0" borderId="0" pivotButton="0" quotePrefix="0" xfId="0"/>
    <xf numFmtId="164" fontId="0" fillId="0" borderId="0" applyAlignment="1" pivotButton="0" quotePrefix="0" xfId="2">
      <alignment vertical="center"/>
    </xf>
    <xf numFmtId="165" fontId="0" fillId="0" borderId="1" applyAlignment="1" pivotButton="0" quotePrefix="0" xfId="1">
      <alignment vertical="center"/>
    </xf>
    <xf numFmtId="164" fontId="0" fillId="0" borderId="1" applyAlignment="1" pivotButton="0" quotePrefix="0" xfId="2">
      <alignment vertical="center"/>
    </xf>
    <xf numFmtId="164" fontId="6" fillId="0" borderId="1" applyAlignment="1" pivotButton="0" quotePrefix="0" xfId="2">
      <alignment horizontal="center" vertical="center"/>
    </xf>
    <xf numFmtId="0" fontId="0" fillId="0" borderId="15" pivotButton="0" quotePrefix="0" xfId="0"/>
    <xf numFmtId="0" fontId="0" fillId="0" borderId="17" pivotButton="0" quotePrefix="0" xfId="0"/>
    <xf numFmtId="0" fontId="0" fillId="0" borderId="19" pivotButton="0" quotePrefix="0" xfId="0"/>
    <xf numFmtId="0" fontId="0" fillId="0" borderId="13" pivotButton="0" quotePrefix="0" xfId="0"/>
    <xf numFmtId="0" fontId="0" fillId="0" borderId="20" pivotButton="0" quotePrefix="0" xfId="0"/>
    <xf numFmtId="0" fontId="0" fillId="0" borderId="22" pivotButton="0" quotePrefix="0" xfId="0"/>
    <xf numFmtId="165" fontId="0" fillId="0" borderId="1" applyAlignment="1" pivotButton="0" quotePrefix="0" xfId="1">
      <alignment horizontal="center" vertical="center"/>
    </xf>
  </cellXfs>
  <cellStyles count="5">
    <cellStyle name="표준" xfId="0" builtinId="0"/>
    <cellStyle name="쉼표 [0]" xfId="1" builtinId="6"/>
    <cellStyle name="통화 [0]" xfId="2" builtinId="7"/>
    <cellStyle name="40% - 강조색3" xfId="3" builtinId="39"/>
    <cellStyle name="20% - 강조색5" xfId="4" builtinId="46"/>
  </cellStyles>
  <dxfs count="2">
    <dxf>
      <fill>
        <patternFill patternType="solid">
          <fgColor rgb="FFDBDBDB"/>
          <bgColor rgb="FFFFFFFF"/>
        </patternFill>
      </fill>
    </dxf>
    <dxf>
      <font>
        <b val="1"/>
      </font>
      <fill>
        <patternFill>
          <bgColor rgb="FF0070C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styles" Target="styles.xml" Id="rId9"/><Relationship Type="http://schemas.openxmlformats.org/officeDocument/2006/relationships/theme" Target="theme/theme1.xml" Id="rId10"/><Relationship Type="http://schemas.microsoft.com/office/2006/relationships/vbaProject" Target="vbaProject.bin" Id="rId11"/></Relationships>
</file>

<file path=xl/charts/chart1.xml><?xml version="1.0" encoding="utf-8"?>
<chartSpace xmlns="http://schemas.openxmlformats.org/drawingml/2006/chart">
  <chart>
    <plotArea>
      <layout/>
      <barChart>
        <barDir val="col"/>
        <grouping val="clustered"/>
        <varyColors val="0"/>
        <ser>
          <idx val="0"/>
          <order val="0"/>
          <tx>
            <strRef>
              <f>차트작업!$D$3</f>
              <strCache>
                <ptCount val="1"/>
                <pt idx="0">
                  <v>매출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차트작업!$B$4:$B$9</f>
              <strCache>
                <ptCount val="6"/>
                <pt idx="0">
                  <v>김진영</v>
                </pt>
                <pt idx="1">
                  <v>이재혁</v>
                </pt>
                <pt idx="2">
                  <v>임지영</v>
                </pt>
                <pt idx="3">
                  <v>김영수</v>
                </pt>
                <pt idx="4">
                  <v>이은혁</v>
                </pt>
                <pt idx="5">
                  <v>최인희</v>
                </pt>
              </strCache>
            </strRef>
          </cat>
          <val>
            <numRef>
              <f>차트작업!$D$4:$D$9</f>
              <numCache>
                <formatCode>_-* #,##0_-;\-* #,##0_-;_-* "-"_-;_-@_-</formatCode>
                <ptCount val="6"/>
                <pt idx="0">
                  <v>25000000</v>
                </pt>
                <pt idx="1">
                  <v>23150000</v>
                </pt>
                <pt idx="2">
                  <v>38700000</v>
                </pt>
                <pt idx="3">
                  <v>43150000</v>
                </pt>
                <pt idx="4">
                  <v>37000000</v>
                </pt>
                <pt idx="5">
                  <v>31800000</v>
                </pt>
              </numCache>
            </numRef>
          </val>
        </ser>
        <ser>
          <idx val="1"/>
          <order val="1"/>
          <tx>
            <strRef>
              <f>차트작업!$E$3</f>
              <strCache>
                <ptCount val="1"/>
                <pt idx="0">
                  <v>비용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차트작업!$B$4:$B$9</f>
              <strCache>
                <ptCount val="6"/>
                <pt idx="0">
                  <v>김진영</v>
                </pt>
                <pt idx="1">
                  <v>이재혁</v>
                </pt>
                <pt idx="2">
                  <v>임지영</v>
                </pt>
                <pt idx="3">
                  <v>김영수</v>
                </pt>
                <pt idx="4">
                  <v>이은혁</v>
                </pt>
                <pt idx="5">
                  <v>최인희</v>
                </pt>
              </strCache>
            </strRef>
          </cat>
          <val>
            <numRef>
              <f>차트작업!$E$4:$E$9</f>
              <numCache>
                <formatCode>_-* #,##0_-;\-* #,##0_-;_-* "-"_-;_-@_-</formatCode>
                <ptCount val="6"/>
                <pt idx="0">
                  <v>22500000</v>
                </pt>
                <pt idx="1">
                  <v>20835000</v>
                </pt>
                <pt idx="2">
                  <v>34830000</v>
                </pt>
                <pt idx="3">
                  <v>38835000</v>
                </pt>
                <pt idx="4">
                  <v>33300000</v>
                </pt>
                <pt idx="5">
                  <v>28620000</v>
                </pt>
              </numCache>
            </numRef>
          </val>
        </ser>
        <ser>
          <idx val="2"/>
          <order val="2"/>
          <tx>
            <strRef>
              <f>차트작업!$F$3</f>
              <strCache>
                <ptCount val="1"/>
                <pt idx="0">
                  <v>순수익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차트작업!$B$4:$B$9</f>
              <strCache>
                <ptCount val="6"/>
                <pt idx="0">
                  <v>김진영</v>
                </pt>
                <pt idx="1">
                  <v>이재혁</v>
                </pt>
                <pt idx="2">
                  <v>임지영</v>
                </pt>
                <pt idx="3">
                  <v>김영수</v>
                </pt>
                <pt idx="4">
                  <v>이은혁</v>
                </pt>
                <pt idx="5">
                  <v>최인희</v>
                </pt>
              </strCache>
            </strRef>
          </cat>
          <val>
            <numRef>
              <f>차트작업!$F$4:$F$9</f>
              <numCache>
                <formatCode>_-* #,##0_-;\-* #,##0_-;_-* "-"_-;_-@_-</formatCode>
                <ptCount val="6"/>
                <pt idx="0">
                  <v>2500000</v>
                </pt>
                <pt idx="1">
                  <v>2315000</v>
                </pt>
                <pt idx="2">
                  <v>3870000</v>
                </pt>
                <pt idx="3">
                  <v>4315000</v>
                </pt>
                <pt idx="4">
                  <v>3700000</v>
                </pt>
                <pt idx="5">
                  <v>3180000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31406752"/>
        <axId val="1731408416"/>
      </barChart>
      <catAx>
        <axId val="1731406752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ko-KR"/>
          </a:p>
        </txPr>
        <crossAx val="1731408416"/>
        <crosses val="autoZero"/>
        <auto val="1"/>
        <lblAlgn val="ctr"/>
        <lblOffset val="100"/>
        <noMultiLvlLbl val="0"/>
      </catAx>
      <valAx>
        <axId val="173140841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_-* #,##0_-;\-* #,##0_-;_-* &quot;-&quot;_-;_-@_-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ko-KR"/>
          </a:p>
        </txPr>
        <crossAx val="173140675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ko-KR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trlProps/ctrlProp1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42333</colOff>
      <row>11</row>
      <rowOff>136525</rowOff>
    </from>
    <to>
      <col>6</col>
      <colOff>547687</colOff>
      <row>24</row>
      <rowOff>128058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8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G11"/>
  <sheetViews>
    <sheetView zoomScale="235" zoomScaleNormal="235" workbookViewId="0">
      <selection activeCell="C9" sqref="C9"/>
    </sheetView>
  </sheetViews>
  <sheetFormatPr baseColWidth="10" defaultColWidth="9" defaultRowHeight="17"/>
  <cols>
    <col width="9" customWidth="1" style="3" min="1" max="2"/>
    <col width="17.6640625" customWidth="1" style="3" min="3" max="3"/>
    <col width="12.5" customWidth="1" style="3" min="4" max="4"/>
    <col width="15.5" customWidth="1" style="3" min="5" max="5"/>
    <col width="13.1640625" customWidth="1" style="3" min="6" max="6"/>
    <col width="9.1640625" bestFit="1" customWidth="1" style="3" min="7" max="7"/>
    <col width="9" customWidth="1" style="3" min="8" max="16384"/>
  </cols>
  <sheetData>
    <row r="1">
      <c r="A1" s="1" t="inlineStr">
        <is>
          <t>해외 가구 수입품목</t>
        </is>
      </c>
      <c r="B1" s="2" t="n"/>
      <c r="C1" s="2" t="n"/>
      <c r="D1" s="2" t="n"/>
      <c r="E1" s="2" t="n"/>
      <c r="F1" s="2" t="n"/>
      <c r="G1" s="2" t="n"/>
    </row>
    <row r="2">
      <c r="A2" s="2" t="n"/>
      <c r="B2" s="2" t="n"/>
      <c r="C2" s="2" t="n"/>
      <c r="D2" s="2" t="n"/>
      <c r="E2" s="2" t="n"/>
      <c r="F2" s="2" t="n"/>
      <c r="G2" s="2" t="n"/>
    </row>
    <row r="3">
      <c r="A3" s="2" t="n"/>
      <c r="B3" s="2" t="n"/>
      <c r="C3" s="2" t="n"/>
      <c r="D3" s="2" t="n"/>
      <c r="E3" s="2" t="n"/>
      <c r="F3" s="2" t="n"/>
      <c r="G3" s="2" t="n"/>
    </row>
    <row r="4">
      <c r="A4" s="0" t="n"/>
      <c r="B4" s="4" t="n"/>
      <c r="C4" s="0" t="n"/>
      <c r="D4" s="5" t="n"/>
      <c r="E4" s="4" t="n"/>
      <c r="F4" s="6" t="n"/>
      <c r="G4" s="6" t="n"/>
    </row>
    <row r="5">
      <c r="A5" s="0" t="n"/>
      <c r="B5" s="4" t="n"/>
      <c r="D5" s="5" t="n"/>
      <c r="E5" s="4" t="n"/>
      <c r="F5" s="6" t="n"/>
      <c r="G5" s="6" t="n"/>
    </row>
    <row r="6">
      <c r="A6" s="0" t="n"/>
      <c r="B6" s="2" t="n"/>
      <c r="C6" s="2" t="n"/>
      <c r="D6" s="5" t="n"/>
      <c r="E6" s="2" t="n"/>
      <c r="F6" s="6" t="n"/>
      <c r="G6" s="6" t="n"/>
    </row>
    <row r="7">
      <c r="A7" s="0" t="n"/>
      <c r="B7" s="2" t="n"/>
      <c r="C7" s="0" t="n"/>
      <c r="D7" s="5" t="n"/>
      <c r="E7" s="2" t="n"/>
      <c r="F7" s="6" t="n"/>
      <c r="G7" s="6" t="n"/>
    </row>
    <row r="8">
      <c r="A8" s="0" t="n"/>
      <c r="B8" s="2" t="n"/>
      <c r="C8" s="0" t="n"/>
      <c r="D8" s="5" t="n"/>
      <c r="E8" s="2" t="n"/>
      <c r="F8" s="6" t="n"/>
      <c r="G8" s="6" t="n"/>
    </row>
    <row r="9">
      <c r="A9" s="0" t="n"/>
      <c r="B9" s="2" t="n"/>
      <c r="C9" s="0" t="n"/>
      <c r="D9" s="5" t="n"/>
      <c r="E9" s="2" t="n"/>
      <c r="F9" s="6" t="n"/>
      <c r="G9" s="6" t="n"/>
    </row>
    <row r="10">
      <c r="A10" s="0" t="n"/>
      <c r="B10" s="0" t="n"/>
      <c r="C10" s="0" t="n"/>
      <c r="D10" s="0" t="n"/>
      <c r="E10" s="0" t="n"/>
      <c r="F10" s="0" t="n"/>
      <c r="G10" s="0" t="n"/>
    </row>
    <row r="11">
      <c r="A11" s="0" t="n"/>
      <c r="B11" s="0" t="n"/>
      <c r="C11" s="0" t="n"/>
      <c r="D11" s="0" t="n"/>
      <c r="E11" s="0" t="n"/>
      <c r="F11" s="0" t="n"/>
      <c r="G11" s="0" t="n"/>
    </row>
  </sheetData>
  <pageMargins left="0.7" right="0.7" top="0.75" bottom="0.75" header="0.3" footer="0.3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Sheet3">
    <outlinePr summaryBelow="1" summaryRight="1"/>
    <pageSetUpPr/>
  </sheetPr>
  <dimension ref="A2:J10"/>
  <sheetViews>
    <sheetView zoomScale="190" zoomScaleNormal="190" workbookViewId="0">
      <selection activeCell="D13" sqref="D13"/>
    </sheetView>
  </sheetViews>
  <sheetFormatPr baseColWidth="10" defaultColWidth="8.83203125" defaultRowHeight="17"/>
  <cols>
    <col width="11.1640625" bestFit="1" customWidth="1" style="71" min="3" max="3"/>
    <col width="16.6640625" customWidth="1" style="71" min="6" max="6"/>
    <col width="9.6640625" customWidth="1" style="71" min="7" max="7"/>
  </cols>
  <sheetData>
    <row r="2">
      <c r="A2" s="0" t="inlineStr">
        <is>
          <t>자동차 판매 현황</t>
        </is>
      </c>
      <c r="J2" s="3" t="n"/>
    </row>
    <row r="3">
      <c r="A3" s="63" t="inlineStr">
        <is>
          <t>사원코드</t>
        </is>
      </c>
      <c r="B3" s="63" t="inlineStr">
        <is>
          <t>부서</t>
        </is>
      </c>
      <c r="C3" s="63" t="inlineStr">
        <is>
          <t>입사일자</t>
        </is>
      </c>
      <c r="D3" s="63" t="inlineStr">
        <is>
          <t>직위</t>
        </is>
      </c>
      <c r="E3" s="63" t="inlineStr">
        <is>
          <t>담당부서</t>
        </is>
      </c>
      <c r="F3" s="63" t="inlineStr">
        <is>
          <t>매출액</t>
        </is>
      </c>
      <c r="G3" s="63" t="inlineStr">
        <is>
          <t>순위</t>
        </is>
      </c>
      <c r="H3" s="63" t="inlineStr">
        <is>
          <t>비고</t>
        </is>
      </c>
    </row>
    <row r="4">
      <c r="A4" s="62" t="inlineStr">
        <is>
          <t>D-051</t>
        </is>
      </c>
      <c r="B4" s="62" t="inlineStr">
        <is>
          <t>영업1부</t>
        </is>
      </c>
      <c r="C4" s="5" t="n">
        <v>44228</v>
      </c>
      <c r="D4" s="62" t="inlineStr">
        <is>
          <t>사원</t>
        </is>
      </c>
      <c r="E4" s="62" t="inlineStr">
        <is>
          <t>아우디</t>
        </is>
      </c>
      <c r="F4" s="72" t="n">
        <v>380000000</v>
      </c>
      <c r="G4" s="62">
        <f>_xlfn.RANK.EQ(F4,$F$4:$F$10) &amp; "등"</f>
        <v/>
      </c>
      <c r="H4" s="62" t="inlineStr">
        <is>
          <t>-</t>
        </is>
      </c>
    </row>
    <row r="5">
      <c r="A5" s="62" t="inlineStr">
        <is>
          <t>C-055</t>
        </is>
      </c>
      <c r="B5" s="62" t="inlineStr">
        <is>
          <t>영업2부</t>
        </is>
      </c>
      <c r="C5" s="5" t="n">
        <v>44045</v>
      </c>
      <c r="D5" s="62" t="inlineStr">
        <is>
          <t>대리</t>
        </is>
      </c>
      <c r="E5" s="62" t="inlineStr">
        <is>
          <t>BMW</t>
        </is>
      </c>
      <c r="F5" s="72" t="n">
        <v>487000000</v>
      </c>
      <c r="G5" s="62">
        <f>_xlfn.RANK.EQ(F5,$F$4:$F$10) &amp; "등"</f>
        <v/>
      </c>
      <c r="H5" s="62" t="inlineStr">
        <is>
          <t>-</t>
        </is>
      </c>
    </row>
    <row r="6">
      <c r="A6" s="62" t="inlineStr">
        <is>
          <t>Q-242</t>
        </is>
      </c>
      <c r="B6" s="62" t="inlineStr">
        <is>
          <t>영업1부</t>
        </is>
      </c>
      <c r="C6" s="5" t="n">
        <v>44200</v>
      </c>
      <c r="D6" s="62" t="inlineStr">
        <is>
          <t>사원</t>
        </is>
      </c>
      <c r="E6" s="62" t="inlineStr">
        <is>
          <t>기아</t>
        </is>
      </c>
      <c r="F6" s="72" t="n">
        <v>782000000</v>
      </c>
      <c r="G6" s="62">
        <f>_xlfn.RANK.EQ(F6,$F$4:$F$10) &amp; "등"</f>
        <v/>
      </c>
      <c r="H6" s="62" t="inlineStr">
        <is>
          <t>-</t>
        </is>
      </c>
    </row>
    <row r="7">
      <c r="A7" s="62" t="inlineStr">
        <is>
          <t>C-051</t>
        </is>
      </c>
      <c r="B7" s="62" t="inlineStr">
        <is>
          <t>영업3부</t>
        </is>
      </c>
      <c r="C7" s="5" t="n">
        <v>43680</v>
      </c>
      <c r="D7" s="62" t="inlineStr">
        <is>
          <t>과장</t>
        </is>
      </c>
      <c r="E7" s="62" t="inlineStr">
        <is>
          <t>현대</t>
        </is>
      </c>
      <c r="F7" s="72" t="n">
        <v>875000000</v>
      </c>
      <c r="G7" s="62">
        <f>_xlfn.RANK.EQ(F7,$F$4:$F$10) &amp; "등"</f>
        <v/>
      </c>
      <c r="H7" s="62" t="inlineStr">
        <is>
          <t>-</t>
        </is>
      </c>
    </row>
    <row r="8">
      <c r="A8" s="62" t="inlineStr">
        <is>
          <t>D-055</t>
        </is>
      </c>
      <c r="B8" s="62" t="inlineStr">
        <is>
          <t>영업3부</t>
        </is>
      </c>
      <c r="C8" s="5" t="n">
        <v>42924</v>
      </c>
      <c r="D8" s="62" t="inlineStr">
        <is>
          <t>부장</t>
        </is>
      </c>
      <c r="E8" s="62" t="inlineStr">
        <is>
          <t>벤츠</t>
        </is>
      </c>
      <c r="F8" s="72" t="n">
        <v>982000000</v>
      </c>
      <c r="G8" s="62">
        <f>_xlfn.RANK.EQ(F8,$F$4:$F$10) &amp; "등"</f>
        <v/>
      </c>
      <c r="H8" s="62" t="inlineStr">
        <is>
          <t>-</t>
        </is>
      </c>
    </row>
    <row r="9">
      <c r="A9" s="62" t="inlineStr">
        <is>
          <t>Q-244</t>
        </is>
      </c>
      <c r="B9" s="62" t="inlineStr">
        <is>
          <t>영업2부</t>
        </is>
      </c>
      <c r="C9" s="5" t="n">
        <v>44257</v>
      </c>
      <c r="D9" s="62" t="inlineStr">
        <is>
          <t>사원</t>
        </is>
      </c>
      <c r="E9" s="62" t="inlineStr">
        <is>
          <t>벤츠</t>
        </is>
      </c>
      <c r="F9" s="72" t="n">
        <v>932000000</v>
      </c>
      <c r="G9" s="62">
        <f>_xlfn.RANK.EQ(F9,$F$4:$F$10) &amp; "등"</f>
        <v/>
      </c>
      <c r="H9" s="62" t="inlineStr">
        <is>
          <t>-</t>
        </is>
      </c>
    </row>
    <row r="10">
      <c r="A10" s="62" t="inlineStr">
        <is>
          <t>C-044</t>
        </is>
      </c>
      <c r="B10" s="62" t="inlineStr">
        <is>
          <t>영업1부</t>
        </is>
      </c>
      <c r="C10" s="5" t="n">
        <v>43864</v>
      </c>
      <c r="D10" s="62" t="inlineStr">
        <is>
          <t>대리</t>
        </is>
      </c>
      <c r="E10" s="62" t="inlineStr">
        <is>
          <t>BMW</t>
        </is>
      </c>
      <c r="F10" s="72" t="n">
        <v>578000000</v>
      </c>
      <c r="G10" s="62">
        <f>_xlfn.RANK.EQ(F10,$F$4:$F$10) &amp; "등"</f>
        <v/>
      </c>
      <c r="H10" s="62" t="inlineStr">
        <is>
          <t>-</t>
        </is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5">
    <outlinePr summaryBelow="1" summaryRight="1"/>
    <pageSetUpPr/>
  </sheetPr>
  <dimension ref="A1:F15"/>
  <sheetViews>
    <sheetView zoomScale="190" zoomScaleNormal="190" workbookViewId="0">
      <selection activeCell="E18" sqref="E18"/>
    </sheetView>
  </sheetViews>
  <sheetFormatPr baseColWidth="10" defaultColWidth="8.83203125" defaultRowHeight="17"/>
  <cols>
    <col width="18.6640625" customWidth="1" style="71" min="1" max="1"/>
    <col width="15" customWidth="1" style="71" min="3" max="3"/>
    <col width="12.33203125" bestFit="1" customWidth="1" style="71" min="4" max="4"/>
    <col width="14.33203125" customWidth="1" style="71" min="5" max="5"/>
    <col width="14.6640625" customWidth="1" style="71" min="6" max="6"/>
  </cols>
  <sheetData>
    <row r="1">
      <c r="A1" s="0" t="inlineStr">
        <is>
          <t>애플 워치 판매 현황</t>
        </is>
      </c>
    </row>
    <row r="2">
      <c r="A2" s="18" t="inlineStr">
        <is>
          <t>품목</t>
        </is>
      </c>
      <c r="B2" s="18" t="inlineStr">
        <is>
          <t>판매국</t>
        </is>
      </c>
      <c r="C2" s="70" t="inlineStr">
        <is>
          <t>수량(단위 : 1만)</t>
        </is>
      </c>
      <c r="D2" s="70" t="inlineStr">
        <is>
          <t>단가</t>
        </is>
      </c>
      <c r="E2" s="70" t="inlineStr">
        <is>
          <t>디스플레이</t>
        </is>
      </c>
      <c r="F2" s="70" t="inlineStr">
        <is>
          <t>색상</t>
        </is>
      </c>
    </row>
    <row r="3">
      <c r="A3" s="18" t="inlineStr">
        <is>
          <t>애플워치6 나이키</t>
        </is>
      </c>
      <c r="B3" s="18" t="inlineStr">
        <is>
          <t>한국</t>
        </is>
      </c>
      <c r="C3" s="73" t="n">
        <v>3242</v>
      </c>
      <c r="D3" s="74" t="n">
        <v>580000</v>
      </c>
      <c r="E3" s="18" t="inlineStr">
        <is>
          <t>44mm</t>
        </is>
      </c>
      <c r="F3" s="18" t="inlineStr">
        <is>
          <t>오렌지</t>
        </is>
      </c>
    </row>
    <row r="4">
      <c r="A4" s="18" t="inlineStr">
        <is>
          <t>애플워치6 에르메스</t>
        </is>
      </c>
      <c r="B4" s="18" t="inlineStr">
        <is>
          <t>미국</t>
        </is>
      </c>
      <c r="C4" s="73" t="n">
        <v>3535</v>
      </c>
      <c r="D4" s="74" t="n">
        <v>1800000</v>
      </c>
      <c r="E4" s="18" t="inlineStr">
        <is>
          <t>40mm</t>
        </is>
      </c>
      <c r="F4" s="18" t="inlineStr">
        <is>
          <t>블루</t>
        </is>
      </c>
    </row>
    <row r="5">
      <c r="A5" s="18" t="inlineStr">
        <is>
          <t>애플워치SE</t>
        </is>
      </c>
      <c r="B5" s="18" t="inlineStr">
        <is>
          <t>태국</t>
        </is>
      </c>
      <c r="C5" s="73" t="n">
        <v>5343</v>
      </c>
      <c r="D5" s="74" t="n">
        <v>400000</v>
      </c>
      <c r="E5" s="18" t="inlineStr">
        <is>
          <t>44mm</t>
        </is>
      </c>
      <c r="F5" s="18" t="inlineStr">
        <is>
          <t>화이트</t>
        </is>
      </c>
    </row>
    <row r="6">
      <c r="A6" s="18" t="inlineStr">
        <is>
          <t>애플워치SE</t>
        </is>
      </c>
      <c r="B6" s="18" t="inlineStr">
        <is>
          <t>한국</t>
        </is>
      </c>
      <c r="C6" s="73" t="n">
        <v>1424</v>
      </c>
      <c r="D6" s="74" t="n">
        <v>400000</v>
      </c>
      <c r="E6" s="18" t="inlineStr">
        <is>
          <t>44mm</t>
        </is>
      </c>
      <c r="F6" s="18" t="inlineStr">
        <is>
          <t>스페이스그레이</t>
        </is>
      </c>
    </row>
    <row r="7">
      <c r="A7" s="18" t="inlineStr">
        <is>
          <t>애플워치6 에르메스</t>
        </is>
      </c>
      <c r="B7" s="18" t="inlineStr">
        <is>
          <t>일본</t>
        </is>
      </c>
      <c r="C7" s="73" t="n">
        <v>1323</v>
      </c>
      <c r="D7" s="74" t="n">
        <v>1800000</v>
      </c>
      <c r="E7" s="18" t="inlineStr">
        <is>
          <t>44mm</t>
        </is>
      </c>
      <c r="F7" s="18" t="inlineStr">
        <is>
          <t>스페이스그레이</t>
        </is>
      </c>
    </row>
    <row r="8">
      <c r="A8" s="18" t="inlineStr">
        <is>
          <t>애플워치SE</t>
        </is>
      </c>
      <c r="B8" s="18" t="inlineStr">
        <is>
          <t>필리핀</t>
        </is>
      </c>
      <c r="C8" s="73" t="n">
        <v>1536</v>
      </c>
      <c r="D8" s="74" t="n">
        <v>400000</v>
      </c>
      <c r="E8" s="18" t="inlineStr">
        <is>
          <t>40mm</t>
        </is>
      </c>
      <c r="F8" s="18" t="inlineStr">
        <is>
          <t>스페이스그레이</t>
        </is>
      </c>
    </row>
    <row r="9">
      <c r="A9" s="18" t="inlineStr">
        <is>
          <t>애플워치SE</t>
        </is>
      </c>
      <c r="B9" s="18" t="inlineStr">
        <is>
          <t>유럽</t>
        </is>
      </c>
      <c r="C9" s="73" t="n">
        <v>4643</v>
      </c>
      <c r="D9" s="74" t="n">
        <v>400000</v>
      </c>
      <c r="E9" s="18" t="inlineStr">
        <is>
          <t>44mm</t>
        </is>
      </c>
      <c r="F9" s="18" t="inlineStr">
        <is>
          <t>화이트</t>
        </is>
      </c>
    </row>
    <row r="10">
      <c r="A10" s="18" t="inlineStr">
        <is>
          <t>애플워치6 나이키</t>
        </is>
      </c>
      <c r="B10" s="18" t="inlineStr">
        <is>
          <t>미국</t>
        </is>
      </c>
      <c r="C10" s="73" t="n">
        <v>1232</v>
      </c>
      <c r="D10" s="74" t="n">
        <v>580000</v>
      </c>
      <c r="E10" s="18" t="inlineStr">
        <is>
          <t>40mm</t>
        </is>
      </c>
      <c r="F10" s="18" t="inlineStr">
        <is>
          <t>화이트</t>
        </is>
      </c>
    </row>
    <row r="11">
      <c r="A11" s="18" t="inlineStr">
        <is>
          <t>애플워치6 에르메스</t>
        </is>
      </c>
      <c r="B11" s="18" t="inlineStr">
        <is>
          <t>러시아</t>
        </is>
      </c>
      <c r="C11" s="73" t="n">
        <v>4643</v>
      </c>
      <c r="D11" s="74" t="n">
        <v>1800000</v>
      </c>
      <c r="E11" s="18" t="inlineStr">
        <is>
          <t>44mm</t>
        </is>
      </c>
      <c r="F11" s="18" t="inlineStr">
        <is>
          <t>스페이스그레이</t>
        </is>
      </c>
    </row>
    <row r="12">
      <c r="A12" s="18" t="inlineStr">
        <is>
          <t>애플워치SE</t>
        </is>
      </c>
      <c r="B12" s="18" t="inlineStr">
        <is>
          <t>러시아</t>
        </is>
      </c>
      <c r="C12" s="73" t="n">
        <v>1323</v>
      </c>
      <c r="D12" s="74" t="n">
        <v>400000</v>
      </c>
      <c r="E12" s="18" t="inlineStr">
        <is>
          <t>44mm</t>
        </is>
      </c>
      <c r="F12" s="18" t="inlineStr">
        <is>
          <t>오렌지</t>
        </is>
      </c>
    </row>
    <row r="15">
      <c r="A15" s="3" t="n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Sheet7">
    <outlinePr summaryBelow="1" summaryRight="1"/>
    <pageSetUpPr/>
  </sheetPr>
  <dimension ref="A1:I36"/>
  <sheetViews>
    <sheetView topLeftCell="A4" zoomScale="145" zoomScaleNormal="145" workbookViewId="0">
      <selection activeCell="C10" sqref="C10"/>
    </sheetView>
  </sheetViews>
  <sheetFormatPr baseColWidth="10" defaultColWidth="8.83203125" defaultRowHeight="17"/>
  <cols>
    <col width="12" customWidth="1" style="71" min="1" max="1"/>
    <col width="15.83203125" customWidth="1" style="71" min="2" max="2"/>
    <col width="14.83203125" customWidth="1" style="71" min="3" max="3"/>
    <col width="11.1640625" customWidth="1" style="71" min="4" max="4"/>
    <col width="10.33203125" customWidth="1" style="71" min="7" max="7"/>
    <col width="12.1640625" bestFit="1" customWidth="1" style="71" min="8" max="8"/>
    <col width="13.33203125" bestFit="1" customWidth="1" style="71" min="9" max="9"/>
  </cols>
  <sheetData>
    <row r="1">
      <c r="A1" s="30" t="inlineStr">
        <is>
          <t>[표1]</t>
        </is>
      </c>
      <c r="B1" s="31" t="n"/>
      <c r="C1" s="31" t="n"/>
      <c r="D1" s="31" t="n"/>
      <c r="F1" s="0" t="inlineStr">
        <is>
          <t>[표2]</t>
        </is>
      </c>
    </row>
    <row r="2">
      <c r="A2" s="32" t="inlineStr">
        <is>
          <t>과일명</t>
        </is>
      </c>
      <c r="B2" s="32" t="inlineStr">
        <is>
          <t>가격</t>
        </is>
      </c>
      <c r="C2" s="32" t="inlineStr">
        <is>
          <t>생산지</t>
        </is>
      </c>
      <c r="D2" s="32" t="inlineStr">
        <is>
          <t>판매자</t>
        </is>
      </c>
      <c r="F2" s="32" t="inlineStr">
        <is>
          <t>이름</t>
        </is>
      </c>
      <c r="G2" s="32" t="inlineStr">
        <is>
          <t>급수</t>
        </is>
      </c>
      <c r="H2" s="32" t="inlineStr">
        <is>
          <t>월급</t>
        </is>
      </c>
      <c r="I2" s="32" t="inlineStr">
        <is>
          <t>연봉</t>
        </is>
      </c>
    </row>
    <row r="3">
      <c r="A3" s="32" t="inlineStr">
        <is>
          <t>포도</t>
        </is>
      </c>
      <c r="B3" s="75" t="n">
        <v>25100000</v>
      </c>
      <c r="C3" s="33" t="inlineStr">
        <is>
          <t>수입</t>
        </is>
      </c>
      <c r="D3" s="32" t="inlineStr">
        <is>
          <t>이**</t>
        </is>
      </c>
      <c r="F3" s="18" t="inlineStr">
        <is>
          <t>김진수</t>
        </is>
      </c>
      <c r="G3" s="18" t="inlineStr">
        <is>
          <t>5급</t>
        </is>
      </c>
      <c r="H3" s="73" t="n">
        <v>2590000</v>
      </c>
      <c r="I3" s="73" t="n">
        <v>33670000</v>
      </c>
    </row>
    <row r="4">
      <c r="A4" s="32" t="inlineStr">
        <is>
          <t>사과</t>
        </is>
      </c>
      <c r="B4" s="75" t="n">
        <v>21060000</v>
      </c>
      <c r="C4" s="33" t="inlineStr">
        <is>
          <t>국내</t>
        </is>
      </c>
      <c r="D4" s="32" t="inlineStr">
        <is>
          <t>김**</t>
        </is>
      </c>
      <c r="F4" s="18" t="inlineStr">
        <is>
          <t>이현아</t>
        </is>
      </c>
      <c r="G4" s="18" t="inlineStr">
        <is>
          <t>4급</t>
        </is>
      </c>
      <c r="H4" s="73" t="n">
        <v>3500000</v>
      </c>
      <c r="I4" s="73" t="n">
        <v>45500000</v>
      </c>
    </row>
    <row r="5">
      <c r="A5" s="32" t="inlineStr">
        <is>
          <t>포도</t>
        </is>
      </c>
      <c r="B5" s="75" t="n">
        <v>36670000</v>
      </c>
      <c r="C5" s="33" t="inlineStr">
        <is>
          <t>수입</t>
        </is>
      </c>
      <c r="D5" s="32" t="inlineStr">
        <is>
          <t>이**</t>
        </is>
      </c>
      <c r="F5" s="18" t="inlineStr">
        <is>
          <t>우지원</t>
        </is>
      </c>
      <c r="G5" s="18" t="inlineStr">
        <is>
          <t>6급</t>
        </is>
      </c>
      <c r="H5" s="73" t="n">
        <v>2650000</v>
      </c>
      <c r="I5" s="73" t="n">
        <v>34450000</v>
      </c>
    </row>
    <row r="6">
      <c r="A6" s="32" t="inlineStr">
        <is>
          <t>포도</t>
        </is>
      </c>
      <c r="B6" s="75" t="n">
        <v>31690000</v>
      </c>
      <c r="C6" s="33" t="inlineStr">
        <is>
          <t>국내</t>
        </is>
      </c>
      <c r="D6" s="32" t="inlineStr">
        <is>
          <t>김**</t>
        </is>
      </c>
      <c r="F6" s="18" t="inlineStr">
        <is>
          <t>이은정</t>
        </is>
      </c>
      <c r="G6" s="18" t="inlineStr">
        <is>
          <t>9급</t>
        </is>
      </c>
      <c r="H6" s="73" t="n">
        <v>1980000</v>
      </c>
      <c r="I6" s="73" t="n">
        <v>25740000</v>
      </c>
    </row>
    <row r="7">
      <c r="A7" s="32" t="inlineStr">
        <is>
          <t>사과</t>
        </is>
      </c>
      <c r="B7" s="75" t="n">
        <v>16660000</v>
      </c>
      <c r="C7" s="33" t="inlineStr">
        <is>
          <t>국내</t>
        </is>
      </c>
      <c r="D7" s="32" t="inlineStr">
        <is>
          <t>민**</t>
        </is>
      </c>
      <c r="F7" s="18" t="inlineStr">
        <is>
          <t>최혜인</t>
        </is>
      </c>
      <c r="G7" s="18" t="inlineStr">
        <is>
          <t>3급</t>
        </is>
      </c>
      <c r="H7" s="73" t="n">
        <v>4560000</v>
      </c>
      <c r="I7" s="73" t="n">
        <v>59280000</v>
      </c>
    </row>
    <row r="8">
      <c r="A8" s="32" t="inlineStr">
        <is>
          <t>딸기</t>
        </is>
      </c>
      <c r="B8" s="75" t="n">
        <v>16780000</v>
      </c>
      <c r="C8" s="33" t="inlineStr">
        <is>
          <t>수입</t>
        </is>
      </c>
      <c r="D8" s="32" t="inlineStr">
        <is>
          <t>민**</t>
        </is>
      </c>
      <c r="F8" s="18" t="inlineStr">
        <is>
          <t>박현주</t>
        </is>
      </c>
      <c r="G8" s="18" t="inlineStr">
        <is>
          <t>5급</t>
        </is>
      </c>
      <c r="H8" s="73" t="n">
        <v>2590000</v>
      </c>
      <c r="I8" s="73" t="n">
        <v>33670000</v>
      </c>
    </row>
    <row r="9">
      <c r="A9" s="32" t="inlineStr">
        <is>
          <t>딸기</t>
        </is>
      </c>
      <c r="B9" s="75" t="n">
        <v>17830000</v>
      </c>
      <c r="C9" s="32" t="inlineStr">
        <is>
          <t>국내</t>
        </is>
      </c>
      <c r="D9" s="32" t="inlineStr">
        <is>
          <t>김**</t>
        </is>
      </c>
    </row>
    <row r="10">
      <c r="A10" s="32" t="inlineStr">
        <is>
          <t>사과</t>
        </is>
      </c>
      <c r="B10" s="75" t="n">
        <v>17140000</v>
      </c>
      <c r="C10" s="32" t="inlineStr">
        <is>
          <t>국내</t>
        </is>
      </c>
      <c r="D10" s="32" t="inlineStr">
        <is>
          <t>박**</t>
        </is>
      </c>
    </row>
    <row r="11">
      <c r="A11" s="31" t="n"/>
      <c r="B11" s="31" t="n"/>
      <c r="D11" s="31" t="n"/>
      <c r="F11" s="31" t="n"/>
    </row>
    <row r="12">
      <c r="A12" s="32" t="n"/>
      <c r="B12" s="35" t="inlineStr">
        <is>
          <t>국내 가격 평균</t>
        </is>
      </c>
      <c r="D12" s="31" t="n"/>
      <c r="F12" s="68" t="inlineStr">
        <is>
          <t>월급이 3,000,000원 보다 크면서, 
평균연봉이상인 인원수</t>
        </is>
      </c>
      <c r="G12" s="76" t="n"/>
      <c r="H12" s="77" t="n"/>
      <c r="I12" s="70">
        <f>COUNTIFS(H3:H8,"&gt;3000000", I3:I8,"&gt;="&amp;AVERAGE(I3:I8))&amp;"명"</f>
        <v/>
      </c>
    </row>
    <row r="13">
      <c r="A13" s="32" t="n"/>
      <c r="B13" s="75" t="n"/>
      <c r="D13" s="31" t="n"/>
      <c r="F13" s="78" t="n"/>
      <c r="G13" s="79" t="n"/>
      <c r="H13" s="80" t="n"/>
      <c r="I13" s="81" t="n"/>
    </row>
    <row r="15">
      <c r="A15" s="0" t="inlineStr">
        <is>
          <t>[표3]</t>
        </is>
      </c>
      <c r="F15" s="0" t="inlineStr">
        <is>
          <t>[표4]</t>
        </is>
      </c>
    </row>
    <row r="16">
      <c r="A16" s="70" t="inlineStr">
        <is>
          <t>사번</t>
        </is>
      </c>
      <c r="B16" s="70" t="inlineStr">
        <is>
          <t>이름</t>
        </is>
      </c>
      <c r="C16" s="70" t="inlineStr">
        <is>
          <t>성별</t>
        </is>
      </c>
      <c r="D16" s="69" t="inlineStr">
        <is>
          <t>부서</t>
        </is>
      </c>
      <c r="F16" s="70" t="inlineStr">
        <is>
          <t>코드</t>
        </is>
      </c>
      <c r="G16" s="70" t="inlineStr">
        <is>
          <t>지역</t>
        </is>
      </c>
      <c r="H16" s="70" t="inlineStr">
        <is>
          <t>단가</t>
        </is>
      </c>
      <c r="I16" s="69" t="inlineStr">
        <is>
          <t>순위</t>
        </is>
      </c>
    </row>
    <row r="17">
      <c r="A17" s="70" t="n">
        <v>10210032</v>
      </c>
      <c r="B17" s="70" t="inlineStr">
        <is>
          <t>김지수</t>
        </is>
      </c>
      <c r="C17" s="70" t="inlineStr">
        <is>
          <t>여</t>
        </is>
      </c>
      <c r="D17" s="70" t="n"/>
      <c r="F17" s="70" t="inlineStr">
        <is>
          <t>Z12935</t>
        </is>
      </c>
      <c r="G17" s="70" t="inlineStr">
        <is>
          <t>경북</t>
        </is>
      </c>
      <c r="H17" s="82" t="n">
        <v>45000</v>
      </c>
      <c r="I17" s="70" t="n"/>
    </row>
    <row r="18">
      <c r="A18" s="70" t="n">
        <v>20210033</v>
      </c>
      <c r="B18" s="70" t="inlineStr">
        <is>
          <t>이아름</t>
        </is>
      </c>
      <c r="C18" s="70" t="inlineStr">
        <is>
          <t>여</t>
        </is>
      </c>
      <c r="D18" s="70" t="n"/>
      <c r="F18" s="70" t="inlineStr">
        <is>
          <t>Z59121</t>
        </is>
      </c>
      <c r="G18" s="70" t="inlineStr">
        <is>
          <t>울산</t>
        </is>
      </c>
      <c r="H18" s="82" t="n">
        <v>35000</v>
      </c>
      <c r="I18" s="70" t="n"/>
    </row>
    <row r="19">
      <c r="A19" s="70" t="n">
        <v>20210034</v>
      </c>
      <c r="B19" s="70" t="inlineStr">
        <is>
          <t>오영희</t>
        </is>
      </c>
      <c r="C19" s="70" t="inlineStr">
        <is>
          <t>여</t>
        </is>
      </c>
      <c r="D19" s="70" t="n"/>
      <c r="F19" s="70" t="inlineStr">
        <is>
          <t>Y12315</t>
        </is>
      </c>
      <c r="G19" s="70" t="inlineStr">
        <is>
          <t>대구</t>
        </is>
      </c>
      <c r="H19" s="82" t="n">
        <v>44000</v>
      </c>
      <c r="I19" s="70" t="n"/>
    </row>
    <row r="20">
      <c r="A20" s="70" t="n">
        <v>30210035</v>
      </c>
      <c r="B20" s="70" t="inlineStr">
        <is>
          <t>이진아</t>
        </is>
      </c>
      <c r="C20" s="70" t="inlineStr">
        <is>
          <t>여</t>
        </is>
      </c>
      <c r="D20" s="70" t="n"/>
      <c r="F20" s="70" t="inlineStr">
        <is>
          <t>Y12314</t>
        </is>
      </c>
      <c r="G20" s="70" t="inlineStr">
        <is>
          <t>전남</t>
        </is>
      </c>
      <c r="H20" s="82" t="n">
        <v>49500</v>
      </c>
      <c r="I20" s="70" t="n"/>
    </row>
    <row r="21">
      <c r="A21" s="70" t="n">
        <v>10210036</v>
      </c>
      <c r="B21" s="70" t="inlineStr">
        <is>
          <t>김현미</t>
        </is>
      </c>
      <c r="C21" s="70" t="inlineStr">
        <is>
          <t>여</t>
        </is>
      </c>
      <c r="D21" s="70" t="n"/>
      <c r="F21" s="70" t="inlineStr">
        <is>
          <t>Z92919</t>
        </is>
      </c>
      <c r="G21" s="70" t="inlineStr">
        <is>
          <t>충북</t>
        </is>
      </c>
      <c r="H21" s="82" t="n">
        <v>43700</v>
      </c>
      <c r="I21" s="70" t="n"/>
    </row>
    <row r="22">
      <c r="A22" s="70" t="n">
        <v>20210037</v>
      </c>
      <c r="B22" s="70" t="inlineStr">
        <is>
          <t>오지훈</t>
        </is>
      </c>
      <c r="C22" s="70" t="inlineStr">
        <is>
          <t>남</t>
        </is>
      </c>
      <c r="D22" s="70" t="n"/>
      <c r="F22" s="70" t="inlineStr">
        <is>
          <t>O29183</t>
        </is>
      </c>
      <c r="G22" s="70" t="inlineStr">
        <is>
          <t>부산</t>
        </is>
      </c>
      <c r="H22" s="82" t="n">
        <v>47500</v>
      </c>
      <c r="I22" s="70" t="n"/>
    </row>
    <row r="23">
      <c r="A23" s="70" t="n">
        <v>30210038</v>
      </c>
      <c r="B23" s="70" t="inlineStr">
        <is>
          <t>이혁수</t>
        </is>
      </c>
      <c r="C23" s="70" t="inlineStr">
        <is>
          <t>남</t>
        </is>
      </c>
      <c r="D23" s="70" t="n"/>
      <c r="F23" s="70" t="inlineStr">
        <is>
          <t>A23415</t>
        </is>
      </c>
      <c r="G23" s="70" t="inlineStr">
        <is>
          <t>서울</t>
        </is>
      </c>
      <c r="H23" s="82" t="n">
        <v>48700</v>
      </c>
      <c r="I23" s="70" t="n"/>
    </row>
    <row r="26">
      <c r="A26" s="0" t="inlineStr">
        <is>
          <t>[표5]</t>
        </is>
      </c>
    </row>
    <row r="27">
      <c r="A27" s="70" t="inlineStr">
        <is>
          <t>분류번호</t>
        </is>
      </c>
      <c r="B27" s="70" t="inlineStr">
        <is>
          <t>이름</t>
        </is>
      </c>
      <c r="C27" s="70" t="inlineStr">
        <is>
          <t>주소</t>
        </is>
      </c>
      <c r="D27" s="69" t="inlineStr">
        <is>
          <t>지역</t>
        </is>
      </c>
    </row>
    <row r="28">
      <c r="A28" s="70" t="inlineStr">
        <is>
          <t>A-130</t>
        </is>
      </c>
      <c r="B28" s="70" t="inlineStr">
        <is>
          <t>김은지</t>
        </is>
      </c>
      <c r="C28" s="70" t="inlineStr">
        <is>
          <t>서울시 강남구</t>
        </is>
      </c>
      <c r="D28" s="70" t="n"/>
    </row>
    <row r="29">
      <c r="A29" s="70" t="inlineStr">
        <is>
          <t>B-220</t>
        </is>
      </c>
      <c r="B29" s="70" t="inlineStr">
        <is>
          <t>김주리</t>
        </is>
      </c>
      <c r="C29" s="70" t="inlineStr">
        <is>
          <t>부산시 동래구</t>
        </is>
      </c>
      <c r="D29" s="70" t="n"/>
    </row>
    <row r="30">
      <c r="A30" s="70" t="inlineStr">
        <is>
          <t>C-331</t>
        </is>
      </c>
      <c r="B30" s="70" t="inlineStr">
        <is>
          <t>박혜미</t>
        </is>
      </c>
      <c r="C30" s="70" t="inlineStr">
        <is>
          <t>인천시 미추홀구</t>
        </is>
      </c>
      <c r="D30" s="70" t="n"/>
    </row>
    <row r="31">
      <c r="A31" s="70" t="inlineStr">
        <is>
          <t>A-133</t>
        </is>
      </c>
      <c r="B31" s="70" t="inlineStr">
        <is>
          <t>송하영</t>
        </is>
      </c>
      <c r="C31" s="70" t="inlineStr">
        <is>
          <t>서울시 중구</t>
        </is>
      </c>
      <c r="D31" s="70" t="n"/>
    </row>
    <row r="32">
      <c r="A32" s="70" t="inlineStr">
        <is>
          <t>F-220</t>
        </is>
      </c>
      <c r="B32" s="70" t="inlineStr">
        <is>
          <t>최민규</t>
        </is>
      </c>
      <c r="C32" s="70" t="inlineStr">
        <is>
          <t>부산시 사상구</t>
        </is>
      </c>
      <c r="D32" s="70" t="n"/>
    </row>
    <row r="33">
      <c r="A33" s="70" t="inlineStr">
        <is>
          <t>C-324</t>
        </is>
      </c>
      <c r="B33" s="70" t="inlineStr">
        <is>
          <t>김동규</t>
        </is>
      </c>
      <c r="C33" s="70" t="inlineStr">
        <is>
          <t>인천시 부평구</t>
        </is>
      </c>
      <c r="D33" s="70" t="n"/>
    </row>
    <row r="34" ht="18" customHeight="1" s="71" thickBot="1"/>
    <row r="35">
      <c r="A35" s="38" t="inlineStr">
        <is>
          <t>코드번호</t>
        </is>
      </c>
      <c r="B35" s="39" t="inlineStr">
        <is>
          <t>A</t>
        </is>
      </c>
      <c r="C35" s="22" t="inlineStr">
        <is>
          <t>B</t>
        </is>
      </c>
      <c r="D35" s="23" t="inlineStr">
        <is>
          <t>C</t>
        </is>
      </c>
    </row>
    <row r="36" ht="18" customHeight="1" s="71" thickBot="1">
      <c r="A36" s="38" t="inlineStr">
        <is>
          <t>지역명</t>
        </is>
      </c>
      <c r="B36" s="13" t="inlineStr">
        <is>
          <t>서울</t>
        </is>
      </c>
      <c r="C36" s="14" t="inlineStr">
        <is>
          <t>부산</t>
        </is>
      </c>
      <c r="D36" s="17" t="inlineStr">
        <is>
          <t xml:space="preserve">인천 </t>
        </is>
      </c>
    </row>
  </sheetData>
  <mergeCells count="2">
    <mergeCell ref="F12:H13"/>
    <mergeCell ref="I12:I1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9">
    <outlinePr summaryBelow="1" summaryRight="1"/>
    <pageSetUpPr/>
  </sheetPr>
  <dimension ref="A1:J9"/>
  <sheetViews>
    <sheetView zoomScale="250" zoomScaleNormal="250" workbookViewId="0">
      <selection activeCell="G10" sqref="G10"/>
    </sheetView>
  </sheetViews>
  <sheetFormatPr baseColWidth="10" defaultColWidth="8.83203125" defaultRowHeight="17"/>
  <cols>
    <col width="10.1640625" customWidth="1" style="71" min="1" max="1"/>
    <col width="10.6640625" bestFit="1" customWidth="1" style="71" min="2" max="3"/>
  </cols>
  <sheetData>
    <row r="1">
      <c r="A1" s="0" t="inlineStr">
        <is>
          <t>[표1] 건강증진 사업 예산 집행현황</t>
        </is>
      </c>
    </row>
    <row r="2">
      <c r="J2" s="3" t="n"/>
    </row>
    <row r="3">
      <c r="A3" s="70" t="inlineStr">
        <is>
          <t>비목</t>
        </is>
      </c>
      <c r="B3" s="70" t="inlineStr">
        <is>
          <t>예산</t>
        </is>
      </c>
      <c r="C3" s="70" t="inlineStr">
        <is>
          <t>집행액</t>
        </is>
      </c>
      <c r="D3" s="70" t="inlineStr">
        <is>
          <t>집행률</t>
        </is>
      </c>
    </row>
    <row r="4">
      <c r="A4" s="70" t="inlineStr">
        <is>
          <t>인건비</t>
        </is>
      </c>
      <c r="B4" s="73" t="n">
        <v>401200</v>
      </c>
      <c r="C4" s="73">
        <f>B4*D4/100</f>
        <v/>
      </c>
      <c r="D4" s="18" t="n">
        <v>35.2</v>
      </c>
    </row>
    <row r="5">
      <c r="A5" s="70" t="inlineStr">
        <is>
          <t>운영비</t>
        </is>
      </c>
      <c r="B5" s="73" t="n">
        <v>553000</v>
      </c>
      <c r="C5" s="73">
        <f>B5*D5/100</f>
        <v/>
      </c>
      <c r="D5" s="18" t="n">
        <v>58.88</v>
      </c>
    </row>
    <row r="6">
      <c r="A6" s="70" t="inlineStr">
        <is>
          <t>여비</t>
        </is>
      </c>
      <c r="B6" s="73" t="n">
        <v>45400</v>
      </c>
      <c r="C6" s="73">
        <f>B6*D6/100</f>
        <v/>
      </c>
      <c r="D6" s="18" t="n">
        <v>23.71</v>
      </c>
    </row>
    <row r="7">
      <c r="A7" s="70" t="inlineStr">
        <is>
          <t>용역비</t>
        </is>
      </c>
      <c r="B7" s="73" t="n">
        <v>211500</v>
      </c>
      <c r="C7" s="73">
        <f>B7*D7/100</f>
        <v/>
      </c>
      <c r="D7" s="18" t="n">
        <v>80.87</v>
      </c>
    </row>
    <row r="8">
      <c r="A8" s="70" t="inlineStr">
        <is>
          <t>사업추진비</t>
        </is>
      </c>
      <c r="B8" s="73" t="n">
        <v>89000</v>
      </c>
      <c r="C8" s="73">
        <f>B8*D8/100</f>
        <v/>
      </c>
      <c r="D8" s="18" t="n">
        <v>78.33</v>
      </c>
    </row>
    <row r="9">
      <c r="A9" s="70" t="inlineStr">
        <is>
          <t>합계</t>
        </is>
      </c>
      <c r="B9" s="73">
        <f>SUM(B4:B8)</f>
        <v/>
      </c>
      <c r="C9" s="73">
        <f>B9*D9/100</f>
        <v/>
      </c>
      <c r="D9" s="40" t="n">
        <v>80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14">
    <outlinePr summaryBelow="1" summaryRight="1"/>
    <pageSetUpPr/>
  </sheetPr>
  <dimension ref="A1:N16"/>
  <sheetViews>
    <sheetView topLeftCell="A2" zoomScale="130" zoomScaleNormal="130" workbookViewId="0">
      <selection activeCell="H12" sqref="H12"/>
    </sheetView>
  </sheetViews>
  <sheetFormatPr baseColWidth="10" defaultColWidth="8.83203125" defaultRowHeight="17"/>
  <sheetData>
    <row r="1">
      <c r="A1" s="0" t="inlineStr">
        <is>
          <t>[표1] 축구 동호회 회원명부</t>
        </is>
      </c>
    </row>
    <row r="3">
      <c r="A3" s="55" t="inlineStr">
        <is>
          <t>가입연도</t>
        </is>
      </c>
      <c r="B3" s="55" t="inlineStr">
        <is>
          <t>이름</t>
        </is>
      </c>
      <c r="C3" s="55" t="inlineStr">
        <is>
          <t>나이</t>
        </is>
      </c>
      <c r="D3" s="55" t="inlineStr">
        <is>
          <t>거주지역</t>
        </is>
      </c>
      <c r="E3" s="55" t="inlineStr">
        <is>
          <t>참여도</t>
        </is>
      </c>
      <c r="F3" s="55" t="inlineStr">
        <is>
          <t>비고</t>
        </is>
      </c>
      <c r="N3" s="3" t="n"/>
    </row>
    <row r="4">
      <c r="A4" s="70" t="n">
        <v>2015</v>
      </c>
      <c r="B4" s="70" t="inlineStr">
        <is>
          <t>김진수</t>
        </is>
      </c>
      <c r="C4" s="70" t="n">
        <v>32</v>
      </c>
      <c r="D4" s="56" t="inlineStr">
        <is>
          <t>강남구</t>
        </is>
      </c>
      <c r="E4" s="57" t="inlineStr">
        <is>
          <t>A급</t>
        </is>
      </c>
      <c r="F4" s="70" t="n"/>
    </row>
    <row r="5">
      <c r="A5" s="70" t="n">
        <v>2015</v>
      </c>
      <c r="B5" s="70" t="inlineStr">
        <is>
          <t>김혁수</t>
        </is>
      </c>
      <c r="C5" s="70" t="n">
        <v>26</v>
      </c>
      <c r="D5" s="70" t="inlineStr">
        <is>
          <t>마포구</t>
        </is>
      </c>
      <c r="E5" s="70" t="inlineStr">
        <is>
          <t>C급</t>
        </is>
      </c>
      <c r="F5" s="70" t="n"/>
    </row>
    <row r="6">
      <c r="A6" s="70" t="n">
        <v>2016</v>
      </c>
      <c r="B6" s="70" t="inlineStr">
        <is>
          <t>김희준</t>
        </is>
      </c>
      <c r="C6" s="70" t="n">
        <v>26</v>
      </c>
      <c r="D6" s="70" t="inlineStr">
        <is>
          <t>강남구</t>
        </is>
      </c>
      <c r="E6" s="57" t="inlineStr">
        <is>
          <t>A급</t>
        </is>
      </c>
      <c r="F6" s="70" t="n"/>
    </row>
    <row r="7">
      <c r="A7" s="70" t="n">
        <v>2016</v>
      </c>
      <c r="B7" s="70" t="inlineStr">
        <is>
          <t>박기수</t>
        </is>
      </c>
      <c r="C7" s="70" t="n">
        <v>34</v>
      </c>
      <c r="D7" s="56" t="inlineStr">
        <is>
          <t>강남구</t>
        </is>
      </c>
      <c r="E7" s="57" t="inlineStr">
        <is>
          <t>A급</t>
        </is>
      </c>
      <c r="F7" s="70" t="n"/>
    </row>
    <row r="8">
      <c r="A8" s="70" t="n">
        <v>2015</v>
      </c>
      <c r="B8" s="70" t="inlineStr">
        <is>
          <t>박성천</t>
        </is>
      </c>
      <c r="C8" s="70" t="n">
        <v>43</v>
      </c>
      <c r="D8" s="56" t="inlineStr">
        <is>
          <t>중구</t>
        </is>
      </c>
      <c r="E8" s="57" t="inlineStr">
        <is>
          <t>A급</t>
        </is>
      </c>
      <c r="F8" s="70" t="inlineStr">
        <is>
          <t>회장</t>
        </is>
      </c>
    </row>
    <row r="9">
      <c r="A9" s="70" t="n">
        <v>2017</v>
      </c>
      <c r="B9" s="70" t="inlineStr">
        <is>
          <t>박은규</t>
        </is>
      </c>
      <c r="C9" s="70" t="n">
        <v>27</v>
      </c>
      <c r="D9" s="70" t="inlineStr">
        <is>
          <t>용산구</t>
        </is>
      </c>
      <c r="E9" s="70" t="inlineStr">
        <is>
          <t>B급</t>
        </is>
      </c>
      <c r="F9" s="70" t="n"/>
    </row>
    <row r="10">
      <c r="A10" s="70" t="n">
        <v>2017</v>
      </c>
      <c r="B10" s="70" t="inlineStr">
        <is>
          <t>백은석</t>
        </is>
      </c>
      <c r="C10" s="70" t="n">
        <v>26</v>
      </c>
      <c r="D10" s="70" t="inlineStr">
        <is>
          <t>송파구</t>
        </is>
      </c>
      <c r="E10" s="57" t="inlineStr">
        <is>
          <t>A급</t>
        </is>
      </c>
      <c r="F10" s="70" t="n"/>
    </row>
    <row r="11">
      <c r="A11" s="70" t="n">
        <v>2016</v>
      </c>
      <c r="B11" s="70" t="inlineStr">
        <is>
          <t>이병훈</t>
        </is>
      </c>
      <c r="C11" s="70" t="n">
        <v>32</v>
      </c>
      <c r="D11" s="56" t="inlineStr">
        <is>
          <t>강동구</t>
        </is>
      </c>
      <c r="E11" s="59" t="inlineStr">
        <is>
          <t>A급</t>
        </is>
      </c>
      <c r="F11" s="70" t="inlineStr">
        <is>
          <t>총무</t>
        </is>
      </c>
    </row>
    <row r="12">
      <c r="A12" s="70" t="n">
        <v>2016</v>
      </c>
      <c r="B12" s="70" t="inlineStr">
        <is>
          <t>이상혁</t>
        </is>
      </c>
      <c r="C12" s="70" t="n">
        <v>30</v>
      </c>
      <c r="D12" s="56" t="inlineStr">
        <is>
          <t>강동구</t>
        </is>
      </c>
      <c r="E12" s="70" t="inlineStr">
        <is>
          <t>B급</t>
        </is>
      </c>
      <c r="F12" s="70" t="n"/>
    </row>
    <row r="13">
      <c r="A13" s="70" t="n">
        <v>2015</v>
      </c>
      <c r="B13" s="70" t="inlineStr">
        <is>
          <t>이익준</t>
        </is>
      </c>
      <c r="C13" s="70" t="n">
        <v>33</v>
      </c>
      <c r="D13" s="56" t="inlineStr">
        <is>
          <t>강남구</t>
        </is>
      </c>
      <c r="E13" s="70" t="inlineStr">
        <is>
          <t>B급</t>
        </is>
      </c>
      <c r="F13" s="70" t="n"/>
    </row>
    <row r="14">
      <c r="A14" s="70" t="n">
        <v>2016</v>
      </c>
      <c r="B14" s="70" t="inlineStr">
        <is>
          <t>이진용</t>
        </is>
      </c>
      <c r="C14" s="70" t="n">
        <v>28</v>
      </c>
      <c r="D14" s="70" t="inlineStr">
        <is>
          <t>용산구</t>
        </is>
      </c>
      <c r="E14" s="70" t="inlineStr">
        <is>
          <t>B급</t>
        </is>
      </c>
      <c r="F14" s="70" t="n"/>
    </row>
    <row r="15">
      <c r="A15" s="70" t="n">
        <v>2016</v>
      </c>
      <c r="B15" s="70" t="inlineStr">
        <is>
          <t>최민규</t>
        </is>
      </c>
      <c r="C15" s="70" t="n">
        <v>31</v>
      </c>
      <c r="D15" s="70" t="inlineStr">
        <is>
          <t>은평구</t>
        </is>
      </c>
      <c r="E15" s="70" t="inlineStr">
        <is>
          <t>C급</t>
        </is>
      </c>
      <c r="F15" s="70" t="n"/>
    </row>
    <row r="16">
      <c r="A16" s="70" t="n">
        <v>2017</v>
      </c>
      <c r="B16" s="70" t="inlineStr">
        <is>
          <t>최은우</t>
        </is>
      </c>
      <c r="C16" s="70" t="n">
        <v>41</v>
      </c>
      <c r="D16" s="58" t="inlineStr">
        <is>
          <t>송파구</t>
        </is>
      </c>
      <c r="E16" s="70" t="inlineStr">
        <is>
          <t>C급</t>
        </is>
      </c>
      <c r="F16" s="70" t="n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11">
    <outlinePr summaryBelow="1" summaryRight="1"/>
    <pageSetUpPr/>
  </sheetPr>
  <dimension ref="A1:F10"/>
  <sheetViews>
    <sheetView zoomScale="205" zoomScaleNormal="205" workbookViewId="0">
      <selection activeCell="H12" sqref="H12"/>
    </sheetView>
  </sheetViews>
  <sheetFormatPr baseColWidth="10" defaultColWidth="8.83203125" defaultRowHeight="17"/>
  <sheetData>
    <row r="1">
      <c r="A1" s="0" t="inlineStr">
        <is>
          <t xml:space="preserve">[표1] 직원 교육 이수 시간 </t>
        </is>
      </c>
    </row>
    <row r="3">
      <c r="A3" s="64" t="inlineStr">
        <is>
          <t xml:space="preserve">이름 </t>
        </is>
      </c>
      <c r="B3" s="64" t="inlineStr">
        <is>
          <t>1분기</t>
        </is>
      </c>
      <c r="C3" s="64" t="inlineStr">
        <is>
          <t>2분기</t>
        </is>
      </c>
      <c r="D3" s="64" t="inlineStr">
        <is>
          <t>3분기</t>
        </is>
      </c>
      <c r="E3" s="64" t="inlineStr">
        <is>
          <t>4분기</t>
        </is>
      </c>
      <c r="F3" s="64" t="inlineStr">
        <is>
          <t>합계</t>
        </is>
      </c>
    </row>
    <row r="4">
      <c r="A4" s="70" t="inlineStr">
        <is>
          <t>김지연</t>
        </is>
      </c>
      <c r="B4" s="70" t="n">
        <v>20</v>
      </c>
      <c r="C4" s="70" t="n">
        <v>25</v>
      </c>
      <c r="D4" s="70" t="n">
        <v>12</v>
      </c>
      <c r="E4" s="70" t="n">
        <v>15</v>
      </c>
      <c r="F4" s="70" t="n"/>
    </row>
    <row r="5">
      <c r="A5" s="70" t="inlineStr">
        <is>
          <t>김현미</t>
        </is>
      </c>
      <c r="B5" s="70" t="n">
        <v>12</v>
      </c>
      <c r="C5" s="70" t="n">
        <v>8</v>
      </c>
      <c r="D5" s="70" t="n">
        <v>24</v>
      </c>
      <c r="E5" s="70" t="n">
        <v>22</v>
      </c>
      <c r="F5" s="70" t="n"/>
    </row>
    <row r="6">
      <c r="A6" s="70" t="inlineStr">
        <is>
          <t>최진혁</t>
        </is>
      </c>
      <c r="B6" s="70" t="n">
        <v>22</v>
      </c>
      <c r="C6" s="70" t="n">
        <v>26</v>
      </c>
      <c r="D6" s="70" t="n">
        <v>11</v>
      </c>
      <c r="E6" s="70" t="n">
        <v>17</v>
      </c>
      <c r="F6" s="70" t="n"/>
    </row>
    <row r="7">
      <c r="A7" s="70" t="inlineStr">
        <is>
          <t>이은주</t>
        </is>
      </c>
      <c r="B7" s="70" t="n">
        <v>21</v>
      </c>
      <c r="C7" s="70" t="n">
        <v>21</v>
      </c>
      <c r="D7" s="70" t="n">
        <v>27</v>
      </c>
      <c r="E7" s="70" t="n">
        <v>15</v>
      </c>
      <c r="F7" s="70" t="n"/>
    </row>
    <row r="8">
      <c r="A8" s="70" t="inlineStr">
        <is>
          <t>박기현</t>
        </is>
      </c>
      <c r="B8" s="70" t="n">
        <v>35</v>
      </c>
      <c r="C8" s="70" t="n">
        <v>12</v>
      </c>
      <c r="D8" s="70" t="n">
        <v>17</v>
      </c>
      <c r="E8" s="70" t="n">
        <v>18</v>
      </c>
      <c r="F8" s="70" t="n"/>
    </row>
    <row r="9">
      <c r="A9" s="70" t="inlineStr">
        <is>
          <t>홍연수</t>
        </is>
      </c>
      <c r="B9" s="70" t="n">
        <v>17</v>
      </c>
      <c r="C9" s="70" t="n">
        <v>24</v>
      </c>
      <c r="D9" s="70" t="n">
        <v>23</v>
      </c>
      <c r="E9" s="70" t="n">
        <v>11</v>
      </c>
      <c r="F9" s="70" t="n"/>
    </row>
    <row r="10">
      <c r="A10" s="70" t="inlineStr">
        <is>
          <t>임기영</t>
        </is>
      </c>
      <c r="B10" s="70" t="n">
        <v>13</v>
      </c>
      <c r="C10" s="70" t="n">
        <v>12</v>
      </c>
      <c r="D10" s="70" t="n">
        <v>17</v>
      </c>
      <c r="E10" s="70" t="n">
        <v>23</v>
      </c>
      <c r="F10" s="70" t="n"/>
    </row>
  </sheetData>
  <pageMargins left="0.7" right="0.7" top="0.75" bottom="0.75" header="0.3" footer="0.3"/>
  <pageSetup orientation="portrait" paperSize="9" horizontalDpi="1200" verticalDpi="1200"/>
</worksheet>
</file>

<file path=xl/worksheets/sheet8.xml><?xml version="1.0" encoding="utf-8"?>
<worksheet xmlns="http://schemas.openxmlformats.org/spreadsheetml/2006/main">
  <sheetPr codeName="Sheet12">
    <outlinePr summaryBelow="1" summaryRight="1"/>
    <pageSetUpPr/>
  </sheetPr>
  <dimension ref="A1:F9"/>
  <sheetViews>
    <sheetView tabSelected="1" zoomScale="160" zoomScaleNormal="160" workbookViewId="0">
      <selection activeCell="E7" sqref="E7"/>
    </sheetView>
  </sheetViews>
  <sheetFormatPr baseColWidth="10" defaultColWidth="8.83203125" defaultRowHeight="17"/>
  <cols>
    <col width="10.83203125" customWidth="1" style="71" min="3" max="3"/>
    <col width="11.6640625" bestFit="1" customWidth="1" style="71" min="4" max="4"/>
    <col width="11.6640625" customWidth="1" style="71" min="5" max="5"/>
    <col width="10.6640625" bestFit="1" customWidth="1" style="71" min="6" max="6"/>
  </cols>
  <sheetData>
    <row r="1">
      <c r="A1" s="0" t="inlineStr">
        <is>
          <t>사원별 매출과 수익</t>
        </is>
      </c>
    </row>
    <row r="3">
      <c r="A3" s="70" t="inlineStr">
        <is>
          <t>사원번호</t>
        </is>
      </c>
      <c r="B3" s="70" t="inlineStr">
        <is>
          <t>사원명</t>
        </is>
      </c>
      <c r="C3" s="70" t="inlineStr">
        <is>
          <t>입사연월일</t>
        </is>
      </c>
      <c r="D3" s="70" t="inlineStr">
        <is>
          <t>매출</t>
        </is>
      </c>
      <c r="E3" s="70" t="inlineStr">
        <is>
          <t>비용</t>
        </is>
      </c>
      <c r="F3" s="70" t="inlineStr">
        <is>
          <t>순수익</t>
        </is>
      </c>
    </row>
    <row r="4">
      <c r="A4" s="18" t="inlineStr">
        <is>
          <t>K15232</t>
        </is>
      </c>
      <c r="B4" s="18" t="inlineStr">
        <is>
          <t>김진영</t>
        </is>
      </c>
      <c r="C4" s="9" t="n">
        <v>40198</v>
      </c>
      <c r="D4" s="73" t="n">
        <v>25000000</v>
      </c>
      <c r="E4" s="73" t="n">
        <v>22500000</v>
      </c>
      <c r="F4" s="73" t="n">
        <v>2500000</v>
      </c>
    </row>
    <row r="5">
      <c r="A5" s="18" t="inlineStr">
        <is>
          <t>K15233</t>
        </is>
      </c>
      <c r="B5" s="18" t="inlineStr">
        <is>
          <t>이재혁</t>
        </is>
      </c>
      <c r="C5" s="9" t="n">
        <v>40929</v>
      </c>
      <c r="D5" s="73" t="n">
        <v>23150000</v>
      </c>
      <c r="E5" s="73" t="n">
        <v>20835000</v>
      </c>
      <c r="F5" s="73" t="n">
        <v>2315000</v>
      </c>
    </row>
    <row r="6">
      <c r="A6" s="18" t="inlineStr">
        <is>
          <t>K15234</t>
        </is>
      </c>
      <c r="B6" s="18" t="inlineStr">
        <is>
          <t>임지영</t>
        </is>
      </c>
      <c r="C6" s="9" t="n">
        <v>40695</v>
      </c>
      <c r="D6" s="73" t="n">
        <v>38700000</v>
      </c>
      <c r="E6" s="73" t="n">
        <v>34830000</v>
      </c>
      <c r="F6" s="73" t="n">
        <v>3870000</v>
      </c>
    </row>
    <row r="7">
      <c r="A7" s="18" t="inlineStr">
        <is>
          <t>K15235</t>
        </is>
      </c>
      <c r="B7" s="18" t="inlineStr">
        <is>
          <t>김영수</t>
        </is>
      </c>
      <c r="C7" s="9" t="n">
        <v>40198</v>
      </c>
      <c r="D7" s="73" t="n">
        <v>43150000</v>
      </c>
      <c r="E7" s="73" t="n">
        <v>38835000</v>
      </c>
      <c r="F7" s="73" t="n">
        <v>4315000</v>
      </c>
    </row>
    <row r="8">
      <c r="A8" s="18" t="inlineStr">
        <is>
          <t>K15236</t>
        </is>
      </c>
      <c r="B8" s="18" t="inlineStr">
        <is>
          <t>이은혁</t>
        </is>
      </c>
      <c r="C8" s="9" t="n">
        <v>40391</v>
      </c>
      <c r="D8" s="73" t="n">
        <v>37000000</v>
      </c>
      <c r="E8" s="73" t="n">
        <v>33300000</v>
      </c>
      <c r="F8" s="73" t="n">
        <v>3700000</v>
      </c>
    </row>
    <row r="9">
      <c r="A9" s="18" t="inlineStr">
        <is>
          <t>K15237</t>
        </is>
      </c>
      <c r="B9" s="18" t="inlineStr">
        <is>
          <t>최인희</t>
        </is>
      </c>
      <c r="C9" s="9" t="n">
        <v>40695</v>
      </c>
      <c r="D9" s="73" t="n">
        <v>31800000</v>
      </c>
      <c r="E9" s="73" t="n">
        <v>28620000</v>
      </c>
      <c r="F9" s="73" t="n">
        <v>3180000</v>
      </c>
    </row>
  </sheetData>
  <pageMargins left="0.7" right="0.7" top="0.75" bottom="0.75" header="0.3" footer="0.3"/>
  <pageSetup orientation="portrait" paperSize="9" horizontalDpi="300" verticalDpi="300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jiwoo</dc:creator>
  <dcterms:created xmlns:dcterms="http://purl.org/dc/terms/" xmlns:xsi="http://www.w3.org/2001/XMLSchema-instance" xsi:type="dcterms:W3CDTF">2021-02-23T04:31:45Z</dcterms:created>
  <dcterms:modified xmlns:dcterms="http://purl.org/dc/terms/" xmlns:xsi="http://www.w3.org/2001/XMLSchema-instance" xsi:type="dcterms:W3CDTF">2026-06-06T06:13:23Z</dcterms:modified>
  <cp:lastModifiedBy>지우 이</cp:lastModifiedBy>
</cp:coreProperties>
</file>