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12264" yWindow="2760" windowWidth="22572" windowHeight="14520" tabRatio="937" firstSheet="0" activeTab="0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기본작업-3" sheetId="3" state="visible" r:id="rId3"/>
    <sheet xmlns:r="http://schemas.openxmlformats.org/officeDocument/2006/relationships" name="계산작업" sheetId="4" state="visible" r:id="rId4"/>
    <sheet xmlns:r="http://schemas.openxmlformats.org/officeDocument/2006/relationships" name="분석작업-1" sheetId="5" state="visible" r:id="rId5"/>
    <sheet xmlns:r="http://schemas.openxmlformats.org/officeDocument/2006/relationships" name="분석작업-2" sheetId="6" state="visible" r:id="rId6"/>
    <sheet xmlns:r="http://schemas.openxmlformats.org/officeDocument/2006/relationships" name="매크로작업" sheetId="7" state="visible" r:id="rId7"/>
    <sheet xmlns:r="http://schemas.openxmlformats.org/officeDocument/2006/relationships" name="차트작업" sheetId="8" state="visible" r:id="rId8"/>
  </sheets>
  <definedNames/>
  <calcPr calcId="191029" fullCalcOnLoad="1"/>
</workbook>
</file>

<file path=xl/styles.xml><?xml version="1.0" encoding="utf-8"?>
<styleSheet xmlns="http://schemas.openxmlformats.org/spreadsheetml/2006/main">
  <numFmts count="5">
    <numFmt numFmtId="164" formatCode="_-* #,##0_-;\-* #,##0_-;_-* &quot;-&quot;_-;_-@_-"/>
    <numFmt numFmtId="165" formatCode="0.0%"/>
    <numFmt numFmtId="166" formatCode="&quot;₩&quot;#,###"/>
    <numFmt numFmtId="167" formatCode="0&quot;부터&quot;"/>
    <numFmt numFmtId="168" formatCode="#&quot;까지&quot;"/>
  </numFmts>
  <fonts count="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11"/>
      <scheme val="minor"/>
    </font>
    <font>
      <name val="굴림"/>
      <charset val="129"/>
      <family val="3"/>
      <b val="1"/>
      <color theme="1"/>
      <sz val="20"/>
    </font>
    <font>
      <name val="돋움"/>
      <charset val="129"/>
      <family val="3"/>
      <b val="1"/>
      <color indexed="81"/>
      <sz val="9"/>
    </font>
    <font>
      <name val="돋움"/>
      <charset val="129"/>
      <family val="3"/>
      <b val="1"/>
      <color theme="1"/>
      <sz val="12"/>
    </font>
    <font>
      <name val="맑은 고딕"/>
      <charset val="129"/>
      <family val="3"/>
      <color rgb="FF000000"/>
      <sz val="11"/>
    </font>
  </fonts>
  <fills count="5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3">
    <xf numFmtId="0" fontId="2" fillId="0" borderId="0" applyAlignment="1">
      <alignment vertical="center"/>
    </xf>
    <xf numFmtId="41" fontId="2" fillId="0" borderId="0" applyAlignment="1">
      <alignment vertical="center"/>
    </xf>
    <xf numFmtId="9" fontId="2" fillId="0" borderId="0" applyAlignment="1">
      <alignment vertical="center"/>
    </xf>
  </cellStyleXfs>
  <cellXfs count="50">
    <xf numFmtId="0" fontId="0" fillId="0" borderId="0" applyAlignment="1" pivotButton="0" quotePrefix="0" xfId="0">
      <alignment vertical="center"/>
    </xf>
    <xf numFmtId="14" fontId="0" fillId="0" borderId="0" applyAlignment="1" pivotButton="0" quotePrefix="0" xfId="0">
      <alignment vertical="center"/>
    </xf>
    <xf numFmtId="164" fontId="0" fillId="0" borderId="0" applyAlignment="1" pivotButton="0" quotePrefix="0" xfId="1">
      <alignment vertical="center"/>
    </xf>
    <xf numFmtId="0" fontId="0" fillId="0" borderId="1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9" fontId="0" fillId="0" borderId="6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9" fontId="0" fillId="0" borderId="9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1">
      <alignment vertical="center"/>
    </xf>
    <xf numFmtId="0" fontId="0" fillId="2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5" fontId="0" fillId="0" borderId="1" applyAlignment="1" pivotButton="0" quotePrefix="0" xfId="0">
      <alignment vertical="center"/>
    </xf>
    <xf numFmtId="165" fontId="0" fillId="0" borderId="1" applyAlignment="1" pivotButton="0" quotePrefix="0" xfId="2">
      <alignment vertical="center"/>
    </xf>
    <xf numFmtId="164" fontId="0" fillId="0" borderId="1" applyAlignment="1" pivotButton="0" quotePrefix="0" xfId="1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5" fillId="2" borderId="2" applyAlignment="1" pivotButton="0" quotePrefix="0" xfId="0">
      <alignment horizontal="center" vertical="center"/>
    </xf>
    <xf numFmtId="0" fontId="5" fillId="2" borderId="3" applyAlignment="1" pivotButton="0" quotePrefix="0" xfId="0">
      <alignment horizontal="center" vertical="center"/>
    </xf>
    <xf numFmtId="0" fontId="5" fillId="2" borderId="4" applyAlignment="1" pivotButton="0" quotePrefix="0" xfId="0">
      <alignment horizontal="center" vertical="center"/>
    </xf>
    <xf numFmtId="166" fontId="0" fillId="0" borderId="1" applyAlignment="1" pivotButton="0" quotePrefix="0" xfId="0">
      <alignment horizontal="center" vertical="center"/>
    </xf>
    <xf numFmtId="166" fontId="0" fillId="0" borderId="8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167" fontId="0" fillId="0" borderId="1" applyAlignment="1" pivotButton="0" quotePrefix="0" xfId="0">
      <alignment horizontal="center" vertical="center"/>
    </xf>
    <xf numFmtId="168" fontId="0" fillId="0" borderId="1" applyAlignment="1" pivotButton="0" quotePrefix="0" xfId="0">
      <alignment horizontal="center" vertical="center"/>
    </xf>
    <xf numFmtId="0" fontId="0" fillId="4" borderId="1" applyAlignment="1" pivotButton="0" quotePrefix="0" xfId="0">
      <alignment horizontal="center" vertical="center"/>
    </xf>
    <xf numFmtId="164" fontId="0" fillId="4" borderId="1" applyAlignment="1" pivotButton="0" quotePrefix="0" xfId="1">
      <alignment horizontal="center" vertical="center"/>
    </xf>
    <xf numFmtId="9" fontId="0" fillId="0" borderId="0" applyAlignment="1" pivotButton="0" quotePrefix="0" xfId="0">
      <alignment vertical="center"/>
    </xf>
    <xf numFmtId="0" fontId="3" fillId="0" borderId="0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9" fontId="0" fillId="0" borderId="1" applyAlignment="1" pivotButton="0" quotePrefix="0" xfId="2">
      <alignment horizontal="center" vertical="center"/>
    </xf>
    <xf numFmtId="0" fontId="0" fillId="0" borderId="1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0" fillId="0" borderId="14" applyAlignment="1" pivotButton="0" quotePrefix="0" xfId="0">
      <alignment horizontal="center" vertical="center"/>
    </xf>
    <xf numFmtId="0" fontId="0" fillId="0" borderId="15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pivotButton="0" quotePrefix="0" xfId="0"/>
    <xf numFmtId="164" fontId="0" fillId="0" borderId="0" applyAlignment="1" pivotButton="0" quotePrefix="0" xfId="1">
      <alignment vertical="center"/>
    </xf>
    <xf numFmtId="164" fontId="0" fillId="4" borderId="1" applyAlignment="1" pivotButton="0" quotePrefix="0" xfId="1">
      <alignment horizontal="center" vertical="center"/>
    </xf>
    <xf numFmtId="164" fontId="0" fillId="0" borderId="1" applyAlignment="1" pivotButton="0" quotePrefix="0" xfId="1">
      <alignment vertical="center"/>
    </xf>
    <xf numFmtId="167" fontId="0" fillId="0" borderId="1" applyAlignment="1" pivotButton="0" quotePrefix="0" xfId="0">
      <alignment horizontal="center" vertical="center"/>
    </xf>
    <xf numFmtId="168" fontId="0" fillId="0" borderId="1" applyAlignment="1" pivotButton="0" quotePrefix="0" xfId="0">
      <alignment horizontal="center" vertical="center"/>
    </xf>
    <xf numFmtId="0" fontId="0" fillId="0" borderId="11" pivotButton="0" quotePrefix="0" xfId="0"/>
    <xf numFmtId="165" fontId="0" fillId="0" borderId="1" applyAlignment="1" pivotButton="0" quotePrefix="0" xfId="0">
      <alignment vertical="center"/>
    </xf>
    <xf numFmtId="0" fontId="0" fillId="0" borderId="12" pivotButton="0" quotePrefix="0" xfId="0"/>
    <xf numFmtId="165" fontId="0" fillId="0" borderId="1" applyAlignment="1" pivotButton="0" quotePrefix="0" xfId="2">
      <alignment vertical="center"/>
    </xf>
    <xf numFmtId="0" fontId="0" fillId="0" borderId="14" pivotButton="0" quotePrefix="0" xfId="0"/>
    <xf numFmtId="0" fontId="0" fillId="0" borderId="15" pivotButton="0" quotePrefix="0" xfId="0"/>
  </cellXfs>
  <cellStyles count="3">
    <cellStyle name="표준" xfId="0" builtinId="0"/>
    <cellStyle name="쉼표 [0]" xfId="1" builtinId="6"/>
    <cellStyle name="백분율" xfId="2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1"/>
  <sheetViews>
    <sheetView tabSelected="1" zoomScale="280" zoomScaleNormal="280" workbookViewId="0">
      <selection activeCell="B7" sqref="B7"/>
    </sheetView>
  </sheetViews>
  <sheetFormatPr baseColWidth="8" defaultRowHeight="17.4"/>
  <sheetData>
    <row r="1">
      <c r="A1" s="0" t="inlineStr">
        <is>
          <t xml:space="preserve">서점 베스트 셀러 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F10"/>
  <sheetViews>
    <sheetView zoomScale="235" zoomScaleNormal="235" workbookViewId="0">
      <selection activeCell="H15" sqref="H15"/>
    </sheetView>
  </sheetViews>
  <sheetFormatPr baseColWidth="8" defaultRowHeight="17.4"/>
  <cols>
    <col width="25.3984375" bestFit="1" customWidth="1" style="38" min="2" max="2"/>
    <col width="8.59765625" bestFit="1" customWidth="1" style="38" min="3" max="3"/>
    <col width="9.19921875" bestFit="1" customWidth="1" style="38" min="4" max="4"/>
  </cols>
  <sheetData>
    <row r="1">
      <c r="A1" s="0" t="inlineStr">
        <is>
          <t>국내 중고도서 목록</t>
        </is>
      </c>
    </row>
    <row r="3">
      <c r="A3" s="0" t="inlineStr">
        <is>
          <t>분류</t>
        </is>
      </c>
      <c r="B3" s="0" t="inlineStr">
        <is>
          <t>도서명</t>
        </is>
      </c>
      <c r="C3" s="0" t="inlineStr">
        <is>
          <t>출판년도</t>
        </is>
      </c>
      <c r="D3" s="0" t="inlineStr">
        <is>
          <t>상품 상태</t>
        </is>
      </c>
      <c r="E3" s="0" t="inlineStr">
        <is>
          <t>판매가</t>
        </is>
      </c>
      <c r="F3" s="0" t="inlineStr">
        <is>
          <t>할인율</t>
        </is>
      </c>
    </row>
    <row r="4">
      <c r="A4" s="0" t="inlineStr">
        <is>
          <t>가정/요리</t>
        </is>
      </c>
      <c r="B4" s="0" t="inlineStr">
        <is>
          <t>세상의 모든 도시락</t>
        </is>
      </c>
      <c r="C4" s="0" t="n">
        <v>2015</v>
      </c>
      <c r="D4" s="0" t="inlineStr">
        <is>
          <t>최상</t>
        </is>
      </c>
      <c r="E4" s="0" t="n">
        <v>13800</v>
      </c>
      <c r="F4" s="27" t="n">
        <v>0.5</v>
      </c>
    </row>
    <row r="5">
      <c r="A5" s="0" t="inlineStr">
        <is>
          <t>가정/요리</t>
        </is>
      </c>
      <c r="B5" s="0" t="inlineStr">
        <is>
          <t>제과 제빵 따라잡기</t>
        </is>
      </c>
      <c r="C5" s="0" t="n">
        <v>2008</v>
      </c>
      <c r="D5" s="0" t="inlineStr">
        <is>
          <t>상</t>
        </is>
      </c>
      <c r="E5" s="0" t="n">
        <v>14800</v>
      </c>
      <c r="F5" s="27" t="n">
        <v>0.53</v>
      </c>
    </row>
    <row r="6">
      <c r="A6" s="0" t="inlineStr">
        <is>
          <t>대학교재</t>
        </is>
      </c>
      <c r="B6" s="0" t="inlineStr">
        <is>
          <t>미디어의 이해</t>
        </is>
      </c>
      <c r="C6" s="0" t="n">
        <v>1999</v>
      </c>
      <c r="D6" s="0" t="inlineStr">
        <is>
          <t>중</t>
        </is>
      </c>
      <c r="E6" s="0" t="n">
        <v>12000</v>
      </c>
      <c r="F6" s="27" t="n">
        <v>0.55</v>
      </c>
    </row>
    <row r="7">
      <c r="A7" s="0" t="inlineStr">
        <is>
          <t>경제경영</t>
        </is>
      </c>
      <c r="B7" s="0" t="inlineStr">
        <is>
          <t xml:space="preserve">사업보고서 읽는 법 </t>
        </is>
      </c>
      <c r="C7" s="0" t="n">
        <v>2014</v>
      </c>
      <c r="D7" s="0" t="inlineStr">
        <is>
          <t>상</t>
        </is>
      </c>
      <c r="E7" s="0" t="n">
        <v>27000</v>
      </c>
      <c r="F7" s="27" t="n">
        <v>0.5</v>
      </c>
    </row>
    <row r="8">
      <c r="A8" s="0" t="inlineStr">
        <is>
          <t>경제경영</t>
        </is>
      </c>
      <c r="B8" s="0" t="inlineStr">
        <is>
          <t>손에잡히는 부동산</t>
        </is>
      </c>
      <c r="C8" s="0" t="n">
        <v>2018</v>
      </c>
      <c r="D8" s="0" t="inlineStr">
        <is>
          <t>최상</t>
        </is>
      </c>
      <c r="E8" s="0" t="n">
        <v>15000</v>
      </c>
      <c r="F8" s="27" t="n">
        <v>0.5</v>
      </c>
    </row>
    <row r="9">
      <c r="A9" s="0" t="inlineStr">
        <is>
          <t>자기계발</t>
        </is>
      </c>
      <c r="B9" s="0" t="inlineStr">
        <is>
          <t>작은습관</t>
        </is>
      </c>
      <c r="C9" s="0" t="n">
        <v>2016</v>
      </c>
      <c r="D9" s="0" t="inlineStr">
        <is>
          <t>중</t>
        </is>
      </c>
      <c r="E9" s="0" t="n">
        <v>13000</v>
      </c>
      <c r="F9" s="27" t="n">
        <v>0.57</v>
      </c>
    </row>
    <row r="10">
      <c r="A10" s="0" t="inlineStr">
        <is>
          <t>자기계발</t>
        </is>
      </c>
      <c r="B10" s="0" t="inlineStr">
        <is>
          <t>어른의 어휘력</t>
        </is>
      </c>
      <c r="C10" s="0" t="n">
        <v>2020</v>
      </c>
      <c r="D10" s="0" t="inlineStr">
        <is>
          <t>최상</t>
        </is>
      </c>
      <c r="E10" s="0" t="n">
        <v>16500</v>
      </c>
      <c r="F10" s="27" t="n">
        <v>0.3</v>
      </c>
    </row>
  </sheetData>
  <pageMargins left="0.7" right="0.7" top="0.75" bottom="0.75" header="0.3" footer="0.3"/>
  <pageSetup orientation="portrait" paperSize="9" horizontalDpi="1200" verticalDpi="1200"/>
</worksheet>
</file>

<file path=xl/worksheets/sheet3.xml><?xml version="1.0" encoding="utf-8"?>
<worksheet xmlns="http://schemas.openxmlformats.org/spreadsheetml/2006/main">
  <sheetPr codeName="Sheet5">
    <outlinePr summaryBelow="1" summaryRight="1"/>
    <pageSetUpPr/>
  </sheetPr>
  <dimension ref="A1:D29"/>
  <sheetViews>
    <sheetView zoomScale="220" zoomScaleNormal="220" workbookViewId="0">
      <selection activeCell="F5" sqref="F5"/>
    </sheetView>
  </sheetViews>
  <sheetFormatPr baseColWidth="8" defaultRowHeight="17.4"/>
  <cols>
    <col width="9.5" customWidth="1" style="38" min="1" max="1"/>
    <col width="13.69921875" customWidth="1" style="38" min="2" max="2"/>
    <col width="11.69921875" bestFit="1" customWidth="1" style="39" min="4" max="4"/>
    <col width="13.5" customWidth="1" style="38" min="7" max="7"/>
  </cols>
  <sheetData>
    <row r="1">
      <c r="A1" s="0" t="inlineStr">
        <is>
          <t>사원별 영업 매출 현황</t>
        </is>
      </c>
    </row>
    <row r="3">
      <c r="A3" s="25" t="inlineStr">
        <is>
          <t>지부</t>
        </is>
      </c>
      <c r="B3" s="25" t="inlineStr">
        <is>
          <t>이름</t>
        </is>
      </c>
      <c r="C3" s="25" t="inlineStr">
        <is>
          <t>직급</t>
        </is>
      </c>
      <c r="D3" s="40" t="inlineStr">
        <is>
          <t>매출액</t>
        </is>
      </c>
    </row>
    <row r="4">
      <c r="A4" s="37" t="inlineStr">
        <is>
          <t>서울</t>
        </is>
      </c>
      <c r="B4" s="37" t="inlineStr">
        <is>
          <t>김지영</t>
        </is>
      </c>
      <c r="C4" s="37" t="inlineStr">
        <is>
          <t>대리</t>
        </is>
      </c>
      <c r="D4" s="41" t="n">
        <v>12315000</v>
      </c>
    </row>
    <row r="5">
      <c r="A5" s="37" t="inlineStr">
        <is>
          <t>부산</t>
        </is>
      </c>
      <c r="B5" s="37" t="inlineStr">
        <is>
          <t>우현주</t>
        </is>
      </c>
      <c r="C5" s="37" t="inlineStr">
        <is>
          <t>주임</t>
        </is>
      </c>
      <c r="D5" s="41" t="n">
        <v>23515000</v>
      </c>
    </row>
    <row r="6">
      <c r="A6" s="37" t="inlineStr">
        <is>
          <t>대구</t>
        </is>
      </c>
      <c r="B6" s="37" t="inlineStr">
        <is>
          <t>이혁수</t>
        </is>
      </c>
      <c r="C6" s="37" t="inlineStr">
        <is>
          <t>대리</t>
        </is>
      </c>
      <c r="D6" s="41" t="n">
        <v>12453000</v>
      </c>
    </row>
    <row r="7">
      <c r="A7" s="37" t="inlineStr">
        <is>
          <t>대구</t>
        </is>
      </c>
      <c r="B7" s="37" t="inlineStr">
        <is>
          <t>최지현</t>
        </is>
      </c>
      <c r="C7" s="37" t="inlineStr">
        <is>
          <t>팀장</t>
        </is>
      </c>
      <c r="D7" s="41" t="n">
        <v>31423000</v>
      </c>
    </row>
    <row r="8">
      <c r="A8" s="37" t="inlineStr">
        <is>
          <t>서울</t>
        </is>
      </c>
      <c r="B8" s="37" t="inlineStr">
        <is>
          <t>이지현</t>
        </is>
      </c>
      <c r="C8" s="37" t="inlineStr">
        <is>
          <t>과장</t>
        </is>
      </c>
      <c r="D8" s="41" t="n">
        <v>32621000</v>
      </c>
    </row>
    <row r="9">
      <c r="A9" s="37" t="inlineStr">
        <is>
          <t>서울</t>
        </is>
      </c>
      <c r="B9" s="37" t="inlineStr">
        <is>
          <t>이동수</t>
        </is>
      </c>
      <c r="C9" s="37" t="inlineStr">
        <is>
          <t>대리</t>
        </is>
      </c>
      <c r="D9" s="41" t="n">
        <v>21123000</v>
      </c>
    </row>
    <row r="10">
      <c r="A10" s="37" t="inlineStr">
        <is>
          <t>인천</t>
        </is>
      </c>
      <c r="B10" s="37" t="inlineStr">
        <is>
          <t>이현규</t>
        </is>
      </c>
      <c r="C10" s="37" t="inlineStr">
        <is>
          <t>주임</t>
        </is>
      </c>
      <c r="D10" s="41" t="n">
        <v>11231000</v>
      </c>
    </row>
    <row r="11">
      <c r="A11" s="37" t="inlineStr">
        <is>
          <t>충북</t>
        </is>
      </c>
      <c r="B11" s="37" t="inlineStr">
        <is>
          <t>김현승</t>
        </is>
      </c>
      <c r="C11" s="37" t="inlineStr">
        <is>
          <t>주임</t>
        </is>
      </c>
      <c r="D11" s="41" t="n">
        <v>17961000</v>
      </c>
    </row>
    <row r="12">
      <c r="A12" s="37" t="inlineStr">
        <is>
          <t>서울</t>
        </is>
      </c>
      <c r="B12" s="37" t="inlineStr">
        <is>
          <t>이지수</t>
        </is>
      </c>
      <c r="C12" s="37" t="inlineStr">
        <is>
          <t>대리</t>
        </is>
      </c>
      <c r="D12" s="41" t="n">
        <v>29343000</v>
      </c>
    </row>
    <row r="13">
      <c r="A13" s="37" t="inlineStr">
        <is>
          <t>부산</t>
        </is>
      </c>
      <c r="B13" s="37" t="inlineStr">
        <is>
          <t>오현지</t>
        </is>
      </c>
      <c r="C13" s="37" t="inlineStr">
        <is>
          <t>과장</t>
        </is>
      </c>
      <c r="D13" s="41" t="n">
        <v>21243000</v>
      </c>
    </row>
    <row r="14">
      <c r="A14" s="37" t="inlineStr">
        <is>
          <t>서울</t>
        </is>
      </c>
      <c r="B14" s="37" t="inlineStr">
        <is>
          <t>이진혁</t>
        </is>
      </c>
      <c r="C14" s="37" t="inlineStr">
        <is>
          <t>과장</t>
        </is>
      </c>
      <c r="D14" s="41" t="n">
        <v>36213000</v>
      </c>
    </row>
    <row r="15">
      <c r="A15" s="37" t="inlineStr">
        <is>
          <t>충남</t>
        </is>
      </c>
      <c r="B15" s="37" t="inlineStr">
        <is>
          <t>한우혁</t>
        </is>
      </c>
      <c r="C15" s="37" t="inlineStr">
        <is>
          <t>과장</t>
        </is>
      </c>
      <c r="D15" s="41" t="n">
        <v>23135000</v>
      </c>
    </row>
    <row r="18">
      <c r="A18" s="12" t="n"/>
      <c r="B18" s="12" t="n"/>
      <c r="D18" s="0" t="n"/>
    </row>
    <row r="19">
      <c r="D19" s="0" t="n"/>
    </row>
    <row r="20">
      <c r="D20" s="0" t="n"/>
    </row>
    <row r="21">
      <c r="D21" s="0" t="n"/>
    </row>
    <row r="22">
      <c r="D22" s="0" t="n"/>
    </row>
    <row r="23">
      <c r="D23" s="0" t="n"/>
    </row>
    <row r="24">
      <c r="D24" s="0" t="n"/>
    </row>
    <row r="25">
      <c r="D25" s="0" t="n"/>
    </row>
    <row r="26">
      <c r="D26" s="0" t="n"/>
    </row>
    <row r="27">
      <c r="D27" s="0" t="n"/>
    </row>
    <row r="28">
      <c r="D28" s="0" t="n"/>
    </row>
    <row r="29">
      <c r="D29" s="0" t="n"/>
    </row>
  </sheetData>
  <pageMargins left="0.7" right="0.7" top="0.75" bottom="0.75" header="0.3" footer="0.3"/>
  <pageSetup orientation="portrait" paperSize="9"/>
</worksheet>
</file>

<file path=xl/worksheets/sheet4.xml><?xml version="1.0" encoding="utf-8"?>
<worksheet xmlns="http://schemas.openxmlformats.org/spreadsheetml/2006/main">
  <sheetPr codeName="Sheet7">
    <outlinePr summaryBelow="1" summaryRight="1"/>
    <pageSetUpPr/>
  </sheetPr>
  <dimension ref="A1:K34"/>
  <sheetViews>
    <sheetView zoomScale="130" zoomScaleNormal="130" workbookViewId="0">
      <selection activeCell="G39" sqref="G39"/>
    </sheetView>
  </sheetViews>
  <sheetFormatPr baseColWidth="8" defaultRowHeight="17.4"/>
  <cols>
    <col width="12.8984375" customWidth="1" style="38" min="2" max="2"/>
    <col width="13.59765625" customWidth="1" style="38" min="3" max="3"/>
    <col width="12.5" customWidth="1" style="38" min="5" max="6"/>
    <col width="14" customWidth="1" style="38" min="7" max="9"/>
    <col width="11.59765625" customWidth="1" style="38" min="10" max="11"/>
  </cols>
  <sheetData>
    <row r="1">
      <c r="A1" s="0" t="inlineStr">
        <is>
          <t xml:space="preserve">[표1] </t>
        </is>
      </c>
      <c r="B1" s="0" t="inlineStr">
        <is>
          <t xml:space="preserve">사원 평가 점수 </t>
        </is>
      </c>
      <c r="F1" s="0" t="inlineStr">
        <is>
          <t>[표2]</t>
        </is>
      </c>
      <c r="G1" s="0" t="inlineStr">
        <is>
          <t>법적의무교육이수 현황</t>
        </is>
      </c>
    </row>
    <row r="2">
      <c r="A2" s="37" t="inlineStr">
        <is>
          <t>사원번호</t>
        </is>
      </c>
      <c r="B2" s="37" t="inlineStr">
        <is>
          <t>이름</t>
        </is>
      </c>
      <c r="C2" s="37" t="inlineStr">
        <is>
          <t>점수</t>
        </is>
      </c>
      <c r="D2" s="29" t="inlineStr">
        <is>
          <t>평가</t>
        </is>
      </c>
      <c r="F2" s="37" t="inlineStr">
        <is>
          <t>사원명</t>
        </is>
      </c>
      <c r="G2" s="37" t="inlineStr">
        <is>
          <t>성희롱예방</t>
        </is>
      </c>
      <c r="H2" s="37" t="inlineStr">
        <is>
          <t>개인정보보호법</t>
        </is>
      </c>
      <c r="I2" s="37" t="inlineStr">
        <is>
          <t>장애인식개선</t>
        </is>
      </c>
      <c r="J2" s="29" t="inlineStr">
        <is>
          <t>미수료 수</t>
        </is>
      </c>
    </row>
    <row r="3">
      <c r="A3" s="37" t="inlineStr">
        <is>
          <t>A1009</t>
        </is>
      </c>
      <c r="B3" s="37" t="inlineStr">
        <is>
          <t>김지영</t>
        </is>
      </c>
      <c r="C3" s="37" t="n">
        <v>89</v>
      </c>
      <c r="D3" s="37" t="n"/>
      <c r="F3" s="37" t="inlineStr">
        <is>
          <t>김지수</t>
        </is>
      </c>
      <c r="G3" s="37" t="inlineStr">
        <is>
          <t>○</t>
        </is>
      </c>
      <c r="H3" s="37" t="inlineStr">
        <is>
          <t>○</t>
        </is>
      </c>
      <c r="I3" s="37" t="inlineStr">
        <is>
          <t>○</t>
        </is>
      </c>
      <c r="J3" s="37" t="n"/>
    </row>
    <row r="4">
      <c r="A4" s="37" t="inlineStr">
        <is>
          <t>A1081</t>
        </is>
      </c>
      <c r="B4" s="37" t="inlineStr">
        <is>
          <t>이현미</t>
        </is>
      </c>
      <c r="C4" s="37" t="n">
        <v>99</v>
      </c>
      <c r="D4" s="37" t="n"/>
      <c r="F4" s="37" t="inlineStr">
        <is>
          <t>임지영</t>
        </is>
      </c>
      <c r="G4" s="37" t="inlineStr">
        <is>
          <t>X</t>
        </is>
      </c>
      <c r="H4" s="37" t="inlineStr">
        <is>
          <t>○</t>
        </is>
      </c>
      <c r="I4" s="37" t="inlineStr">
        <is>
          <t>X</t>
        </is>
      </c>
      <c r="J4" s="37" t="n"/>
    </row>
    <row r="5">
      <c r="A5" s="37" t="inlineStr">
        <is>
          <t>A2098</t>
        </is>
      </c>
      <c r="B5" s="37" t="inlineStr">
        <is>
          <t>이지현</t>
        </is>
      </c>
      <c r="C5" s="37" t="n">
        <v>78</v>
      </c>
      <c r="D5" s="37" t="n"/>
      <c r="F5" s="37" t="inlineStr">
        <is>
          <t>오현주</t>
        </is>
      </c>
      <c r="G5" s="37" t="inlineStr">
        <is>
          <t>○</t>
        </is>
      </c>
      <c r="H5" s="37" t="inlineStr">
        <is>
          <t>○</t>
        </is>
      </c>
      <c r="I5" s="37" t="inlineStr">
        <is>
          <t>○</t>
        </is>
      </c>
      <c r="J5" s="37" t="n"/>
    </row>
    <row r="6">
      <c r="A6" s="37" t="inlineStr">
        <is>
          <t>A2977</t>
        </is>
      </c>
      <c r="B6" s="37" t="inlineStr">
        <is>
          <t>우상혁</t>
        </is>
      </c>
      <c r="C6" s="37" t="n">
        <v>90</v>
      </c>
      <c r="D6" s="37" t="n"/>
      <c r="F6" s="37" t="inlineStr">
        <is>
          <t>이지혁</t>
        </is>
      </c>
      <c r="G6" s="37" t="inlineStr">
        <is>
          <t>○</t>
        </is>
      </c>
      <c r="H6" s="37" t="inlineStr">
        <is>
          <t>X</t>
        </is>
      </c>
      <c r="I6" s="37" t="inlineStr">
        <is>
          <t>○</t>
        </is>
      </c>
      <c r="J6" s="37" t="n"/>
    </row>
    <row r="7">
      <c r="A7" s="37" t="inlineStr">
        <is>
          <t>A1026</t>
        </is>
      </c>
      <c r="B7" s="37" t="inlineStr">
        <is>
          <t>최혁수</t>
        </is>
      </c>
      <c r="C7" s="37" t="n">
        <v>96</v>
      </c>
      <c r="D7" s="37" t="n"/>
      <c r="F7" s="37" t="inlineStr">
        <is>
          <t>이우진</t>
        </is>
      </c>
      <c r="G7" s="37" t="inlineStr">
        <is>
          <t>○</t>
        </is>
      </c>
      <c r="H7" s="37" t="inlineStr">
        <is>
          <t>○</t>
        </is>
      </c>
      <c r="I7" s="37" t="inlineStr">
        <is>
          <t>○</t>
        </is>
      </c>
      <c r="J7" s="37" t="n"/>
    </row>
    <row r="8">
      <c r="A8" s="37" t="inlineStr">
        <is>
          <t>A1002</t>
        </is>
      </c>
      <c r="B8" s="37" t="inlineStr">
        <is>
          <t>김태형</t>
        </is>
      </c>
      <c r="C8" s="37" t="n">
        <v>91</v>
      </c>
      <c r="D8" s="37" t="n"/>
      <c r="F8" s="37" t="inlineStr">
        <is>
          <t>최우주</t>
        </is>
      </c>
      <c r="G8" s="37" t="inlineStr">
        <is>
          <t>○</t>
        </is>
      </c>
      <c r="H8" s="37" t="inlineStr">
        <is>
          <t>○</t>
        </is>
      </c>
      <c r="I8" s="37" t="inlineStr">
        <is>
          <t>X</t>
        </is>
      </c>
      <c r="J8" s="37" t="n"/>
    </row>
    <row r="9">
      <c r="A9" s="37" t="inlineStr">
        <is>
          <t>A1072</t>
        </is>
      </c>
      <c r="B9" s="37" t="inlineStr">
        <is>
          <t>오우진</t>
        </is>
      </c>
      <c r="C9" s="37" t="n">
        <v>97</v>
      </c>
      <c r="D9" s="37" t="n"/>
      <c r="F9" s="37" t="inlineStr">
        <is>
          <t>김지선</t>
        </is>
      </c>
      <c r="G9" s="37" t="inlineStr">
        <is>
          <t>X</t>
        </is>
      </c>
      <c r="H9" s="37" t="inlineStr">
        <is>
          <t>○</t>
        </is>
      </c>
      <c r="I9" s="37" t="inlineStr">
        <is>
          <t>X</t>
        </is>
      </c>
      <c r="J9" s="37" t="n"/>
    </row>
    <row r="10">
      <c r="A10" s="37" t="inlineStr">
        <is>
          <t>A1090</t>
        </is>
      </c>
      <c r="B10" s="37" t="inlineStr">
        <is>
          <t>임지욱</t>
        </is>
      </c>
      <c r="C10" s="37" t="n">
        <v>93</v>
      </c>
      <c r="D10" s="37" t="n"/>
    </row>
    <row r="11">
      <c r="F11" s="0" t="inlineStr">
        <is>
          <t xml:space="preserve"> </t>
        </is>
      </c>
    </row>
    <row r="13">
      <c r="A13" s="22" t="inlineStr">
        <is>
          <t>[표3]</t>
        </is>
      </c>
      <c r="B13" s="22" t="inlineStr">
        <is>
          <t>신입사원 현황</t>
        </is>
      </c>
      <c r="F13" s="0" t="inlineStr">
        <is>
          <t>[표4]</t>
        </is>
      </c>
      <c r="G13" s="0" t="inlineStr">
        <is>
          <t>한국사능력검정시험 인증등급</t>
        </is>
      </c>
    </row>
    <row r="14">
      <c r="A14" s="37" t="inlineStr">
        <is>
          <t>사원번호</t>
        </is>
      </c>
      <c r="B14" s="37" t="inlineStr">
        <is>
          <t>이름</t>
        </is>
      </c>
      <c r="C14" s="29" t="inlineStr">
        <is>
          <t>소속팀</t>
        </is>
      </c>
      <c r="F14" s="37" t="inlineStr">
        <is>
          <t>이름</t>
        </is>
      </c>
      <c r="G14" s="37" t="inlineStr">
        <is>
          <t xml:space="preserve">점수 </t>
        </is>
      </c>
      <c r="H14" s="37" t="inlineStr">
        <is>
          <t>대상</t>
        </is>
      </c>
      <c r="I14" s="29" t="inlineStr">
        <is>
          <t>인증등급</t>
        </is>
      </c>
    </row>
    <row r="15">
      <c r="A15" s="37" t="inlineStr">
        <is>
          <t>A12532</t>
        </is>
      </c>
      <c r="B15" s="37" t="inlineStr">
        <is>
          <t>김지영</t>
        </is>
      </c>
      <c r="C15" s="37" t="n"/>
      <c r="F15" s="37" t="inlineStr">
        <is>
          <t>김수진</t>
        </is>
      </c>
      <c r="G15" s="37" t="n">
        <v>98</v>
      </c>
      <c r="H15" s="37" t="inlineStr">
        <is>
          <t>대학생</t>
        </is>
      </c>
      <c r="I15" s="37" t="n"/>
    </row>
    <row r="16">
      <c r="A16" s="37" t="inlineStr">
        <is>
          <t>A19192</t>
        </is>
      </c>
      <c r="B16" s="37" t="inlineStr">
        <is>
          <t>우미진</t>
        </is>
      </c>
      <c r="C16" s="37" t="n"/>
      <c r="F16" s="37" t="inlineStr">
        <is>
          <t>임지영</t>
        </is>
      </c>
      <c r="G16" s="37" t="n">
        <v>68</v>
      </c>
      <c r="H16" s="37" t="inlineStr">
        <is>
          <t>대학생</t>
        </is>
      </c>
      <c r="I16" s="37" t="n"/>
    </row>
    <row r="17">
      <c r="A17" s="37" t="inlineStr">
        <is>
          <t>I12461</t>
        </is>
      </c>
      <c r="B17" s="37" t="inlineStr">
        <is>
          <t>오현주</t>
        </is>
      </c>
      <c r="C17" s="37" t="n"/>
      <c r="F17" s="37" t="inlineStr">
        <is>
          <t>이현주</t>
        </is>
      </c>
      <c r="G17" s="37" t="n">
        <v>76</v>
      </c>
      <c r="H17" s="37" t="inlineStr">
        <is>
          <t>직장인</t>
        </is>
      </c>
      <c r="I17" s="37" t="n"/>
    </row>
    <row r="18">
      <c r="A18" s="37" t="inlineStr">
        <is>
          <t>O29180</t>
        </is>
      </c>
      <c r="B18" s="37" t="inlineStr">
        <is>
          <t>김성민</t>
        </is>
      </c>
      <c r="C18" s="37" t="n"/>
      <c r="F18" s="37" t="inlineStr">
        <is>
          <t>우상혁</t>
        </is>
      </c>
      <c r="G18" s="37" t="n">
        <v>80</v>
      </c>
      <c r="H18" s="37" t="inlineStr">
        <is>
          <t>대학생</t>
        </is>
      </c>
      <c r="I18" s="37" t="n"/>
      <c r="J18" s="12" t="n"/>
    </row>
    <row r="19">
      <c r="A19" s="37" t="inlineStr">
        <is>
          <t>I12436</t>
        </is>
      </c>
      <c r="B19" s="37" t="inlineStr">
        <is>
          <t>박지혁</t>
        </is>
      </c>
      <c r="C19" s="37" t="n"/>
      <c r="F19" s="37" t="inlineStr">
        <is>
          <t>이혁수</t>
        </is>
      </c>
      <c r="G19" s="37" t="n">
        <v>88</v>
      </c>
      <c r="H19" s="37" t="inlineStr">
        <is>
          <t>대학생</t>
        </is>
      </c>
      <c r="I19" s="37" t="n"/>
    </row>
    <row r="20">
      <c r="A20" s="37" t="inlineStr">
        <is>
          <t>O21387</t>
        </is>
      </c>
      <c r="B20" s="37" t="inlineStr">
        <is>
          <t>오기현</t>
        </is>
      </c>
      <c r="C20" s="37" t="n"/>
      <c r="F20" s="37" t="inlineStr">
        <is>
          <t>최기훈</t>
        </is>
      </c>
      <c r="G20" s="37" t="n">
        <v>79</v>
      </c>
      <c r="H20" s="37" t="inlineStr">
        <is>
          <t>직장인</t>
        </is>
      </c>
      <c r="I20" s="37" t="n"/>
    </row>
    <row r="21">
      <c r="A21" s="0" t="inlineStr">
        <is>
          <t>&lt;팀코드&gt;</t>
        </is>
      </c>
    </row>
    <row r="22">
      <c r="A22" s="37" t="inlineStr">
        <is>
          <t>사원번호</t>
        </is>
      </c>
      <c r="B22" s="37" t="inlineStr">
        <is>
          <t>A1</t>
        </is>
      </c>
      <c r="C22" s="37" t="inlineStr">
        <is>
          <t>I1</t>
        </is>
      </c>
      <c r="D22" s="37" t="inlineStr">
        <is>
          <t>O2</t>
        </is>
      </c>
      <c r="H22" s="22" t="inlineStr">
        <is>
          <t>&lt;등급표&gt;</t>
        </is>
      </c>
    </row>
    <row r="23">
      <c r="A23" s="37" t="inlineStr">
        <is>
          <t>팀명</t>
        </is>
      </c>
      <c r="B23" s="37" t="inlineStr">
        <is>
          <t>인재개발팀</t>
        </is>
      </c>
      <c r="C23" s="37" t="inlineStr">
        <is>
          <t>행정지원팀</t>
        </is>
      </c>
      <c r="D23" s="37" t="inlineStr">
        <is>
          <t xml:space="preserve">총무팀 </t>
        </is>
      </c>
      <c r="H23" s="37" t="inlineStr">
        <is>
          <t>기준1</t>
        </is>
      </c>
      <c r="I23" s="37" t="inlineStr">
        <is>
          <t>기준2</t>
        </is>
      </c>
      <c r="J23" s="37" t="inlineStr">
        <is>
          <t>대학생</t>
        </is>
      </c>
      <c r="K23" s="37" t="inlineStr">
        <is>
          <t>직장인</t>
        </is>
      </c>
    </row>
    <row r="24">
      <c r="H24" s="42" t="n">
        <v>0</v>
      </c>
      <c r="I24" s="43" t="n">
        <v>70</v>
      </c>
      <c r="J24" s="37" t="inlineStr">
        <is>
          <t>3등급(대)</t>
        </is>
      </c>
      <c r="K24" s="37" t="inlineStr">
        <is>
          <t>3등급(직)</t>
        </is>
      </c>
    </row>
    <row r="25">
      <c r="H25" s="42" t="n">
        <v>71</v>
      </c>
      <c r="I25" s="43" t="n">
        <v>80</v>
      </c>
      <c r="J25" s="37" t="inlineStr">
        <is>
          <t>2등급(대)</t>
        </is>
      </c>
      <c r="K25" s="37" t="inlineStr">
        <is>
          <t>2등급(직)</t>
        </is>
      </c>
    </row>
    <row r="26">
      <c r="A26" s="0" t="inlineStr">
        <is>
          <t>[표5]</t>
        </is>
      </c>
      <c r="B26" s="0" t="inlineStr">
        <is>
          <t>인사등록 현황</t>
        </is>
      </c>
      <c r="H26" s="42" t="n">
        <v>81</v>
      </c>
      <c r="I26" s="43" t="n">
        <v>100</v>
      </c>
      <c r="J26" s="37" t="inlineStr">
        <is>
          <t>1등급(대)</t>
        </is>
      </c>
      <c r="K26" s="37" t="inlineStr">
        <is>
          <t>1등급(직)</t>
        </is>
      </c>
    </row>
    <row r="27">
      <c r="A27" s="37" t="inlineStr">
        <is>
          <t>지사</t>
        </is>
      </c>
      <c r="B27" s="37" t="inlineStr">
        <is>
          <t>직급</t>
        </is>
      </c>
      <c r="C27" s="37" t="inlineStr">
        <is>
          <t>사원수(명)</t>
        </is>
      </c>
      <c r="E27" s="37" t="n"/>
      <c r="F27" s="37" t="n"/>
    </row>
    <row r="28">
      <c r="A28" s="37" t="inlineStr">
        <is>
          <t>강서구</t>
        </is>
      </c>
      <c r="B28" s="37" t="inlineStr">
        <is>
          <t>대리</t>
        </is>
      </c>
      <c r="C28" s="37" t="n">
        <v>10</v>
      </c>
      <c r="E28" s="37" t="n"/>
      <c r="F28" s="37" t="n"/>
    </row>
    <row r="29">
      <c r="A29" s="37" t="inlineStr">
        <is>
          <t>강서구</t>
        </is>
      </c>
      <c r="B29" s="37" t="inlineStr">
        <is>
          <t>주임</t>
        </is>
      </c>
      <c r="C29" s="37" t="n">
        <v>17</v>
      </c>
      <c r="E29" s="37" t="n"/>
      <c r="F29" s="37" t="n"/>
    </row>
    <row r="30">
      <c r="A30" s="37" t="inlineStr">
        <is>
          <t>강동구</t>
        </is>
      </c>
      <c r="B30" s="37" t="inlineStr">
        <is>
          <t>대리</t>
        </is>
      </c>
      <c r="C30" s="37" t="n">
        <v>11</v>
      </c>
      <c r="E30" s="29" t="inlineStr">
        <is>
          <t>비율</t>
        </is>
      </c>
      <c r="F30" s="44" t="n"/>
    </row>
    <row r="31">
      <c r="A31" s="37" t="inlineStr">
        <is>
          <t>강동구</t>
        </is>
      </c>
      <c r="B31" s="37" t="inlineStr">
        <is>
          <t>주임</t>
        </is>
      </c>
      <c r="C31" s="37" t="n">
        <v>20</v>
      </c>
      <c r="E31" s="30" t="n"/>
      <c r="F31" s="44" t="n"/>
    </row>
    <row r="32">
      <c r="A32" s="37" t="inlineStr">
        <is>
          <t>강동구</t>
        </is>
      </c>
      <c r="B32" s="37" t="inlineStr">
        <is>
          <t>과장</t>
        </is>
      </c>
      <c r="C32" s="37" t="n">
        <v>8</v>
      </c>
    </row>
    <row r="33">
      <c r="A33" s="37" t="inlineStr">
        <is>
          <t>중구</t>
        </is>
      </c>
      <c r="B33" s="37" t="inlineStr">
        <is>
          <t>대리</t>
        </is>
      </c>
      <c r="C33" s="37" t="n">
        <v>21</v>
      </c>
    </row>
    <row r="34">
      <c r="A34" s="37" t="inlineStr">
        <is>
          <t>강남구</t>
        </is>
      </c>
      <c r="B34" s="37" t="inlineStr">
        <is>
          <t>주임</t>
        </is>
      </c>
      <c r="C34" s="37" t="n">
        <v>25</v>
      </c>
    </row>
  </sheetData>
  <mergeCells count="2">
    <mergeCell ref="E31:F31"/>
    <mergeCell ref="E30:F3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9">
    <outlinePr summaryBelow="1" summaryRight="1"/>
    <pageSetUpPr/>
  </sheetPr>
  <dimension ref="A1:H14"/>
  <sheetViews>
    <sheetView zoomScale="205" zoomScaleNormal="205" workbookViewId="0">
      <selection activeCell="E14" sqref="E14"/>
    </sheetView>
  </sheetViews>
  <sheetFormatPr baseColWidth="8" defaultRowHeight="17.4"/>
  <cols>
    <col width="12.5" customWidth="1" style="38" min="2" max="2"/>
    <col width="12.09765625" bestFit="1" customWidth="1" style="38" min="3" max="9"/>
  </cols>
  <sheetData>
    <row r="1">
      <c r="A1" s="37" t="inlineStr">
        <is>
          <t>주택자금대출</t>
        </is>
      </c>
      <c r="B1" s="44" t="n"/>
    </row>
    <row r="2">
      <c r="A2" s="9" t="inlineStr">
        <is>
          <t>대출금액</t>
        </is>
      </c>
      <c r="B2" s="41" t="n">
        <v>50000000</v>
      </c>
    </row>
    <row r="3">
      <c r="A3" s="9" t="inlineStr">
        <is>
          <t>연이율</t>
        </is>
      </c>
      <c r="B3" s="45" t="n">
        <v>0.034</v>
      </c>
    </row>
    <row r="4">
      <c r="A4" s="9" t="inlineStr">
        <is>
          <t>기간(연)</t>
        </is>
      </c>
      <c r="B4" s="9" t="n">
        <v>2</v>
      </c>
    </row>
    <row r="5">
      <c r="A5" s="9" t="inlineStr">
        <is>
          <t>월상환액</t>
        </is>
      </c>
      <c r="B5" s="41">
        <f>B2*B3/12*(1+B3/12)^B4/((1+B3/12)^B4-1)</f>
        <v/>
      </c>
    </row>
    <row r="7">
      <c r="C7" s="37" t="inlineStr">
        <is>
          <t>대출액</t>
        </is>
      </c>
      <c r="D7" s="46" t="n"/>
      <c r="E7" s="46" t="n"/>
      <c r="F7" s="46" t="n"/>
      <c r="G7" s="46" t="n"/>
      <c r="H7" s="44" t="n"/>
    </row>
    <row r="8">
      <c r="B8" s="41" t="n"/>
      <c r="C8" s="41" t="n">
        <v>50000000</v>
      </c>
      <c r="D8" s="41" t="n">
        <v>53000000</v>
      </c>
      <c r="E8" s="41" t="n">
        <v>56000000</v>
      </c>
      <c r="F8" s="41" t="n">
        <v>59000000</v>
      </c>
      <c r="G8" s="41" t="n">
        <v>62000000</v>
      </c>
      <c r="H8" s="41" t="n">
        <v>70000000</v>
      </c>
    </row>
    <row r="9">
      <c r="A9" s="37" t="inlineStr">
        <is>
          <t>연이율</t>
        </is>
      </c>
      <c r="B9" s="47" t="n">
        <v>0.03</v>
      </c>
      <c r="C9" s="41" t="n"/>
      <c r="D9" s="41" t="n"/>
      <c r="E9" s="41" t="n"/>
      <c r="F9" s="41" t="n"/>
      <c r="G9" s="41" t="n"/>
      <c r="H9" s="41" t="n"/>
    </row>
    <row r="10">
      <c r="A10" s="48" t="n"/>
      <c r="B10" s="47" t="n">
        <v>0.034</v>
      </c>
      <c r="C10" s="41" t="n"/>
      <c r="D10" s="41" t="n"/>
      <c r="E10" s="41" t="n"/>
      <c r="F10" s="41" t="n"/>
      <c r="G10" s="41" t="n"/>
      <c r="H10" s="41" t="n"/>
    </row>
    <row r="11">
      <c r="A11" s="48" t="n"/>
      <c r="B11" s="47" t="n">
        <v>0.036</v>
      </c>
      <c r="C11" s="41" t="n"/>
      <c r="D11" s="41" t="n"/>
      <c r="E11" s="41" t="n"/>
      <c r="F11" s="41" t="n"/>
      <c r="G11" s="41" t="n"/>
      <c r="H11" s="41" t="n"/>
    </row>
    <row r="12">
      <c r="A12" s="48" t="n"/>
      <c r="B12" s="47" t="n">
        <v>0.045</v>
      </c>
      <c r="C12" s="41" t="n"/>
      <c r="D12" s="41" t="n"/>
      <c r="E12" s="41" t="n"/>
      <c r="F12" s="41" t="n"/>
      <c r="G12" s="41" t="n"/>
      <c r="H12" s="41" t="n"/>
    </row>
    <row r="13">
      <c r="A13" s="48" t="n"/>
      <c r="B13" s="47" t="n">
        <v>0.046</v>
      </c>
      <c r="C13" s="41" t="n"/>
      <c r="D13" s="41" t="n"/>
      <c r="E13" s="41" t="n"/>
      <c r="F13" s="41" t="n"/>
      <c r="G13" s="41" t="n"/>
      <c r="H13" s="41" t="n"/>
    </row>
    <row r="14">
      <c r="A14" s="49" t="n"/>
      <c r="B14" s="47" t="n">
        <v>0.047</v>
      </c>
      <c r="C14" s="41" t="n"/>
      <c r="D14" s="41" t="n"/>
      <c r="E14" s="41" t="n"/>
      <c r="F14" s="41" t="n"/>
      <c r="G14" s="41" t="n"/>
      <c r="H14" s="41" t="n"/>
    </row>
  </sheetData>
  <mergeCells count="3">
    <mergeCell ref="C7:H7"/>
    <mergeCell ref="A9:A14"/>
    <mergeCell ref="A1:B1"/>
  </mergeCells>
  <pageMargins left="0.7" right="0.7" top="0.75" bottom="0.75" header="0.3" footer="0.3"/>
  <pageSetup orientation="portrait" paperSize="9"/>
</worksheet>
</file>

<file path=xl/worksheets/sheet6.xml><?xml version="1.0" encoding="utf-8"?>
<worksheet xmlns="http://schemas.openxmlformats.org/spreadsheetml/2006/main">
  <sheetPr codeName="Sheet11">
    <outlinePr summaryBelow="1" summaryRight="1"/>
    <pageSetUpPr/>
  </sheetPr>
  <dimension ref="A1:I20"/>
  <sheetViews>
    <sheetView zoomScale="145" zoomScaleNormal="145" workbookViewId="0">
      <selection activeCell="I5" sqref="I5"/>
    </sheetView>
  </sheetViews>
  <sheetFormatPr baseColWidth="8" defaultRowHeight="17.4"/>
  <sheetData>
    <row r="1">
      <c r="A1" s="0" t="inlineStr">
        <is>
          <t>[표1]</t>
        </is>
      </c>
      <c r="B1" s="0" t="inlineStr">
        <is>
          <t>서울 공장 생산 현황</t>
        </is>
      </c>
    </row>
    <row r="2">
      <c r="A2" s="9" t="inlineStr">
        <is>
          <t>품명</t>
        </is>
      </c>
      <c r="B2" s="9" t="inlineStr">
        <is>
          <t>생산량</t>
        </is>
      </c>
      <c r="C2" s="9" t="inlineStr">
        <is>
          <t>판매량</t>
        </is>
      </c>
      <c r="D2" s="9" t="inlineStr">
        <is>
          <t>재고량</t>
        </is>
      </c>
    </row>
    <row r="3">
      <c r="A3" s="9" t="inlineStr">
        <is>
          <t>SWA120</t>
        </is>
      </c>
      <c r="B3" s="41" t="n">
        <v>4581</v>
      </c>
      <c r="C3" s="41" t="n">
        <v>3555</v>
      </c>
      <c r="D3" s="41">
        <f>B3-C3</f>
        <v/>
      </c>
    </row>
    <row r="4">
      <c r="A4" s="9" t="inlineStr">
        <is>
          <t>BOD192</t>
        </is>
      </c>
      <c r="B4" s="41" t="n">
        <v>3927</v>
      </c>
      <c r="C4" s="41" t="n">
        <v>3920</v>
      </c>
      <c r="D4" s="41">
        <f>B4-C4</f>
        <v/>
      </c>
    </row>
    <row r="5">
      <c r="A5" s="9" t="inlineStr">
        <is>
          <t>BUA297</t>
        </is>
      </c>
      <c r="B5" s="41" t="n">
        <v>3848</v>
      </c>
      <c r="C5" s="41" t="n">
        <v>3221</v>
      </c>
      <c r="D5" s="41">
        <f>B5-C5</f>
        <v/>
      </c>
    </row>
    <row r="6">
      <c r="A6" s="9" t="inlineStr">
        <is>
          <t>WWA121</t>
        </is>
      </c>
      <c r="B6" s="41" t="n">
        <v>4874</v>
      </c>
      <c r="C6" s="41" t="n">
        <v>4580</v>
      </c>
      <c r="D6" s="41">
        <f>B6-C6</f>
        <v/>
      </c>
    </row>
    <row r="8">
      <c r="A8" s="0" t="inlineStr">
        <is>
          <t>[표2]</t>
        </is>
      </c>
      <c r="B8" s="0" t="inlineStr">
        <is>
          <t>인천 공장 생산 현황</t>
        </is>
      </c>
      <c r="F8" s="0" t="inlineStr">
        <is>
          <t>[표4]</t>
        </is>
      </c>
      <c r="G8" s="0" t="inlineStr">
        <is>
          <t>전체 공장 생산 현황</t>
        </is>
      </c>
    </row>
    <row r="9">
      <c r="A9" s="9" t="inlineStr">
        <is>
          <t>품명</t>
        </is>
      </c>
      <c r="B9" s="9" t="inlineStr">
        <is>
          <t>생산량</t>
        </is>
      </c>
      <c r="C9" s="9" t="inlineStr">
        <is>
          <t>판매량</t>
        </is>
      </c>
      <c r="D9" s="9" t="inlineStr">
        <is>
          <t>재고량</t>
        </is>
      </c>
      <c r="F9" s="9" t="inlineStr">
        <is>
          <t>품명</t>
        </is>
      </c>
      <c r="G9" s="9" t="inlineStr">
        <is>
          <t>생산량</t>
        </is>
      </c>
      <c r="H9" s="9" t="inlineStr">
        <is>
          <t>판매량</t>
        </is>
      </c>
      <c r="I9" s="9" t="inlineStr">
        <is>
          <t>재고량</t>
        </is>
      </c>
    </row>
    <row r="10">
      <c r="A10" s="9" t="inlineStr">
        <is>
          <t>SWA121</t>
        </is>
      </c>
      <c r="B10" s="41" t="n">
        <v>2340</v>
      </c>
      <c r="C10" s="41" t="n">
        <v>2320</v>
      </c>
      <c r="D10" s="41">
        <f>B10-C10</f>
        <v/>
      </c>
      <c r="F10" s="9" t="n"/>
      <c r="G10" s="41" t="n"/>
      <c r="H10" s="41" t="n"/>
      <c r="I10" s="41" t="n"/>
    </row>
    <row r="11">
      <c r="A11" s="9" t="inlineStr">
        <is>
          <t>BUA292</t>
        </is>
      </c>
      <c r="B11" s="41" t="n">
        <v>2870</v>
      </c>
      <c r="C11" s="41" t="n">
        <v>120</v>
      </c>
      <c r="D11" s="41">
        <f>B11-C11</f>
        <v/>
      </c>
      <c r="F11" s="9" t="n"/>
      <c r="G11" s="41" t="n"/>
      <c r="H11" s="41" t="n"/>
      <c r="I11" s="41" t="n"/>
    </row>
    <row r="12">
      <c r="A12" s="9" t="inlineStr">
        <is>
          <t>AUA293</t>
        </is>
      </c>
      <c r="B12" s="41" t="n">
        <v>2471</v>
      </c>
      <c r="C12" s="41" t="n">
        <v>110</v>
      </c>
      <c r="D12" s="41">
        <f>B12-C12</f>
        <v/>
      </c>
      <c r="F12" s="9" t="n"/>
      <c r="G12" s="41" t="n"/>
      <c r="H12" s="41" t="n"/>
      <c r="I12" s="41" t="n"/>
    </row>
    <row r="13">
      <c r="A13" s="9" t="inlineStr">
        <is>
          <t>BUA294</t>
        </is>
      </c>
      <c r="B13" s="41" t="n">
        <v>2657</v>
      </c>
      <c r="C13" s="41" t="n">
        <v>150</v>
      </c>
      <c r="D13" s="41">
        <f>B13-C13</f>
        <v/>
      </c>
      <c r="F13" s="9" t="n"/>
      <c r="G13" s="41" t="n"/>
      <c r="H13" s="41" t="n"/>
      <c r="I13" s="41" t="n"/>
    </row>
    <row r="15">
      <c r="A15" s="0" t="inlineStr">
        <is>
          <t xml:space="preserve">[표3] </t>
        </is>
      </c>
      <c r="B15" s="0" t="inlineStr">
        <is>
          <t>부산 공장 생산 현황</t>
        </is>
      </c>
    </row>
    <row r="16">
      <c r="A16" s="9" t="inlineStr">
        <is>
          <t>품명</t>
        </is>
      </c>
      <c r="B16" s="9" t="inlineStr">
        <is>
          <t>생산량</t>
        </is>
      </c>
      <c r="C16" s="9" t="inlineStr">
        <is>
          <t>판매량</t>
        </is>
      </c>
      <c r="D16" s="9" t="inlineStr">
        <is>
          <t>재고량</t>
        </is>
      </c>
    </row>
    <row r="17">
      <c r="A17" s="9" t="inlineStr">
        <is>
          <t>BUA293</t>
        </is>
      </c>
      <c r="B17" s="41" t="n">
        <v>2790</v>
      </c>
      <c r="C17" s="41" t="n">
        <v>2780</v>
      </c>
      <c r="D17" s="41">
        <f>B17-C17</f>
        <v/>
      </c>
    </row>
    <row r="18">
      <c r="A18" s="9" t="inlineStr">
        <is>
          <t>BUA119</t>
        </is>
      </c>
      <c r="B18" s="41" t="n">
        <v>3840</v>
      </c>
      <c r="C18" s="41" t="n">
        <v>3292</v>
      </c>
      <c r="D18" s="41">
        <f>B18-C18</f>
        <v/>
      </c>
    </row>
    <row r="19">
      <c r="A19" s="9" t="inlineStr">
        <is>
          <t>AUA293</t>
        </is>
      </c>
      <c r="B19" s="41" t="n">
        <v>2028</v>
      </c>
      <c r="C19" s="41" t="n">
        <v>1997</v>
      </c>
      <c r="D19" s="41">
        <f>B19-C19</f>
        <v/>
      </c>
    </row>
    <row r="20">
      <c r="A20" s="9" t="inlineStr">
        <is>
          <t>WWA122</t>
        </is>
      </c>
      <c r="B20" s="41" t="n">
        <v>3847</v>
      </c>
      <c r="C20" s="41" t="n">
        <v>3669</v>
      </c>
      <c r="D20" s="41">
        <f>B20-C20</f>
        <v/>
      </c>
    </row>
  </sheetData>
  <pageMargins left="0.7" right="0.7" top="0.75" bottom="0.75" header="0.3" footer="0.3"/>
  <pageSetup orientation="portrait" paperSize="9"/>
</worksheet>
</file>

<file path=xl/worksheets/sheet7.xml><?xml version="1.0" encoding="utf-8"?>
<worksheet xmlns="http://schemas.openxmlformats.org/spreadsheetml/2006/main">
  <sheetPr codeName="Sheet13">
    <outlinePr summaryBelow="1" summaryRight="1"/>
    <pageSetUpPr/>
  </sheetPr>
  <dimension ref="A1:F9"/>
  <sheetViews>
    <sheetView zoomScale="235" zoomScaleNormal="235" workbookViewId="0">
      <selection activeCell="F20" sqref="F20"/>
    </sheetView>
  </sheetViews>
  <sheetFormatPr baseColWidth="8" defaultRowHeight="17.4"/>
  <cols>
    <col width="8.69921875" bestFit="1" customWidth="1" style="38" min="2" max="3"/>
    <col width="8.69921875" bestFit="1" customWidth="1" style="38" min="5" max="5"/>
  </cols>
  <sheetData>
    <row r="1">
      <c r="A1" s="0" t="inlineStr">
        <is>
          <t xml:space="preserve">[표1] 상반기 신입사원 직무능력 시험 점수 </t>
        </is>
      </c>
    </row>
    <row r="2">
      <c r="A2" s="12" t="inlineStr">
        <is>
          <t>이름</t>
        </is>
      </c>
      <c r="B2" s="12" t="inlineStr">
        <is>
          <t>문제해결</t>
        </is>
      </c>
      <c r="C2" s="12" t="inlineStr">
        <is>
          <t>의사소통</t>
        </is>
      </c>
      <c r="D2" s="12" t="inlineStr">
        <is>
          <t>수리</t>
        </is>
      </c>
      <c r="E2" s="12" t="inlineStr">
        <is>
          <t>자원관리</t>
        </is>
      </c>
      <c r="F2" s="12" t="inlineStr">
        <is>
          <t>합계</t>
        </is>
      </c>
    </row>
    <row r="3">
      <c r="A3" s="12" t="inlineStr">
        <is>
          <t>김지연</t>
        </is>
      </c>
      <c r="B3" s="12" t="n">
        <v>10</v>
      </c>
      <c r="C3" s="12" t="n">
        <v>7</v>
      </c>
      <c r="D3" s="12" t="n">
        <v>6</v>
      </c>
      <c r="E3" s="12" t="n">
        <v>10</v>
      </c>
      <c r="F3" s="12" t="n"/>
    </row>
    <row r="4">
      <c r="A4" s="12" t="inlineStr">
        <is>
          <t>우상혁</t>
        </is>
      </c>
      <c r="B4" s="12" t="n">
        <v>9</v>
      </c>
      <c r="C4" s="12" t="n">
        <v>10</v>
      </c>
      <c r="D4" s="12" t="n">
        <v>7</v>
      </c>
      <c r="E4" s="12" t="n">
        <v>9</v>
      </c>
      <c r="F4" s="12" t="n"/>
    </row>
    <row r="5">
      <c r="A5" s="12" t="inlineStr">
        <is>
          <t>최태환</t>
        </is>
      </c>
      <c r="B5" s="12" t="n">
        <v>8</v>
      </c>
      <c r="C5" s="12" t="n">
        <v>8</v>
      </c>
      <c r="D5" s="12" t="n">
        <v>10</v>
      </c>
      <c r="E5" s="12" t="n">
        <v>10</v>
      </c>
      <c r="F5" s="12" t="n"/>
    </row>
    <row r="6">
      <c r="A6" s="12" t="inlineStr">
        <is>
          <t>한상혁</t>
        </is>
      </c>
      <c r="B6" s="12" t="n">
        <v>10</v>
      </c>
      <c r="C6" s="12" t="n">
        <v>9</v>
      </c>
      <c r="D6" s="12" t="n">
        <v>9</v>
      </c>
      <c r="E6" s="12" t="n">
        <v>9</v>
      </c>
      <c r="F6" s="12" t="n"/>
    </row>
    <row r="7">
      <c r="A7" s="12" t="inlineStr">
        <is>
          <t>임지민</t>
        </is>
      </c>
      <c r="B7" s="12" t="n">
        <v>7</v>
      </c>
      <c r="C7" s="12" t="n">
        <v>8</v>
      </c>
      <c r="D7" s="12" t="n">
        <v>9</v>
      </c>
      <c r="E7" s="12" t="n">
        <v>10</v>
      </c>
      <c r="F7" s="12" t="n"/>
    </row>
    <row r="8">
      <c r="A8" s="12" t="inlineStr">
        <is>
          <t>이지현</t>
        </is>
      </c>
      <c r="B8" s="12" t="n">
        <v>9</v>
      </c>
      <c r="C8" s="12" t="n">
        <v>7</v>
      </c>
      <c r="D8" s="12" t="n">
        <v>8</v>
      </c>
      <c r="E8" s="12" t="n">
        <v>8</v>
      </c>
      <c r="F8" s="12" t="n"/>
    </row>
    <row r="9">
      <c r="A9" s="12" t="inlineStr">
        <is>
          <t>최현지</t>
        </is>
      </c>
      <c r="B9" s="12" t="n">
        <v>10</v>
      </c>
      <c r="C9" s="12" t="n">
        <v>5</v>
      </c>
      <c r="D9" s="12" t="n">
        <v>9</v>
      </c>
      <c r="E9" s="12" t="n">
        <v>10</v>
      </c>
      <c r="F9" s="12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15">
    <outlinePr summaryBelow="1" summaryRight="1"/>
    <pageSetUpPr/>
  </sheetPr>
  <dimension ref="A1:D7"/>
  <sheetViews>
    <sheetView zoomScale="220" zoomScaleNormal="220" workbookViewId="0">
      <selection activeCell="B12" sqref="B12"/>
    </sheetView>
  </sheetViews>
  <sheetFormatPr baseColWidth="8" defaultRowHeight="17.4"/>
  <cols>
    <col width="10.5" bestFit="1" customWidth="1" style="38" min="2" max="2"/>
    <col width="9.19921875" bestFit="1" customWidth="1" style="38" min="3" max="3"/>
    <col width="10.19921875" customWidth="1" style="38" min="4" max="4"/>
  </cols>
  <sheetData>
    <row r="1">
      <c r="A1" s="0" t="inlineStr">
        <is>
          <t>중구 문화센터 개설 강좌 현황</t>
        </is>
      </c>
    </row>
    <row r="2">
      <c r="A2" s="12" t="inlineStr">
        <is>
          <t>구분</t>
        </is>
      </c>
      <c r="B2" s="12" t="inlineStr">
        <is>
          <t>개설과목수</t>
        </is>
      </c>
      <c r="C2" s="12" t="inlineStr">
        <is>
          <t>수강자 수</t>
        </is>
      </c>
      <c r="D2" s="12" t="inlineStr">
        <is>
          <t>지점수</t>
        </is>
      </c>
    </row>
    <row r="3">
      <c r="A3" s="12" t="inlineStr">
        <is>
          <t>음악</t>
        </is>
      </c>
      <c r="B3" s="12" t="n">
        <v>25</v>
      </c>
      <c r="C3" s="12" t="n">
        <v>250</v>
      </c>
      <c r="D3" s="12" t="n">
        <v>7</v>
      </c>
    </row>
    <row r="4">
      <c r="A4" s="12" t="inlineStr">
        <is>
          <t>미술</t>
        </is>
      </c>
      <c r="B4" s="12" t="n">
        <v>18</v>
      </c>
      <c r="C4" s="12" t="n">
        <v>180</v>
      </c>
      <c r="D4" s="12" t="n">
        <v>5</v>
      </c>
    </row>
    <row r="5">
      <c r="A5" s="12" t="inlineStr">
        <is>
          <t>운동</t>
        </is>
      </c>
      <c r="B5" s="12" t="n">
        <v>35</v>
      </c>
      <c r="C5" s="12" t="n">
        <v>700</v>
      </c>
      <c r="D5" s="12" t="n">
        <v>10</v>
      </c>
    </row>
    <row r="6">
      <c r="A6" s="12" t="inlineStr">
        <is>
          <t>요리</t>
        </is>
      </c>
      <c r="B6" s="12" t="n">
        <v>20</v>
      </c>
      <c r="C6" s="12" t="n">
        <v>100</v>
      </c>
      <c r="D6" s="12" t="n">
        <v>10</v>
      </c>
    </row>
    <row r="7">
      <c r="A7" s="12" t="inlineStr">
        <is>
          <t>경제</t>
        </is>
      </c>
      <c r="B7" s="12" t="n">
        <v>40</v>
      </c>
      <c r="C7" s="12" t="n">
        <v>800</v>
      </c>
      <c r="D7" s="12" t="n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SAMSUNG</dc:creator>
  <dcterms:created xmlns:dcterms="http://purl.org/dc/terms/" xmlns:xsi="http://www.w3.org/2001/XMLSchema-instance" xsi:type="dcterms:W3CDTF">2021-03-13T14:21:08Z</dcterms:created>
  <dcterms:modified xmlns:dcterms="http://purl.org/dc/terms/" xmlns:xsi="http://www.w3.org/2001/XMLSchema-instance" xsi:type="dcterms:W3CDTF">2026-06-06T06:34:18Z</dcterms:modified>
  <cp:lastModifiedBy>Administrator</cp:lastModifiedBy>
</cp:coreProperties>
</file>