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1152" yWindow="1152" windowWidth="22572" windowHeight="13116" tabRatio="930" firstSheet="0" activeTab="0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_-* #,##0_-;\-* #,##0_-;_-* &quot;-&quot;_-;_-@_-"/>
    <numFmt numFmtId="165" formatCode="mm&quot;월&quot;\ dd&quot;일&quot;"/>
    <numFmt numFmtId="166" formatCode="yyyy&quot;년&quot;mm&quot;월&quot;dd&quot;일&quot;"/>
  </numFmts>
  <fonts count="11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궁서"/>
      <charset val="129"/>
      <family val="1"/>
      <b val="1"/>
      <color theme="1"/>
      <sz val="20"/>
      <u val="single"/>
    </font>
    <font>
      <name val="맑은 고딕"/>
      <charset val="129"/>
      <family val="2"/>
      <color rgb="FF0070C0"/>
      <sz val="11"/>
      <scheme val="minor"/>
    </font>
    <font>
      <name val="맑은 고딕"/>
      <charset val="129"/>
      <family val="3"/>
      <color rgb="FF0070C0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color theme="1"/>
      <sz val="11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color theme="1"/>
      <sz val="15"/>
      <scheme val="minor"/>
    </font>
    <font>
      <name val="맑은 고딕"/>
      <charset val="129"/>
      <family val="3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5" fillId="0" borderId="0" applyAlignment="1">
      <alignment vertical="center"/>
    </xf>
    <xf numFmtId="41" fontId="5" fillId="0" borderId="0" applyAlignment="1">
      <alignment vertical="center"/>
    </xf>
  </cellStyleXfs>
  <cellXfs count="35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1">
      <alignment vertical="center"/>
    </xf>
    <xf numFmtId="165" fontId="0" fillId="0" borderId="0" applyAlignment="1" pivotButton="0" quotePrefix="0" xfId="0">
      <alignment vertical="center"/>
    </xf>
    <xf numFmtId="164" fontId="0" fillId="0" borderId="1" applyAlignment="1" pivotButton="0" quotePrefix="0" xfId="1">
      <alignment horizontal="center" vertical="center"/>
    </xf>
    <xf numFmtId="165" fontId="0" fillId="0" borderId="1" applyAlignment="1" pivotButton="0" quotePrefix="0" xfId="0">
      <alignment horizontal="center" vertical="center"/>
    </xf>
    <xf numFmtId="14" fontId="0" fillId="0" borderId="1" applyAlignment="1" pivotButton="0" quotePrefix="0" xfId="0">
      <alignment horizontal="center" vertical="center"/>
    </xf>
    <xf numFmtId="0" fontId="0" fillId="0" borderId="0" applyAlignment="1" pivotButton="1" quotePrefix="0" xfId="0">
      <alignment vertical="center"/>
    </xf>
    <xf numFmtId="164" fontId="0" fillId="0" borderId="1" applyAlignment="1" pivotButton="0" quotePrefix="0" xfId="0">
      <alignment vertical="center"/>
    </xf>
    <xf numFmtId="0" fontId="6" fillId="3" borderId="1" applyAlignment="1" pivotButton="0" quotePrefix="0" xfId="0">
      <alignment horizontal="center" vertical="center"/>
    </xf>
    <xf numFmtId="0" fontId="0" fillId="4" borderId="1" applyAlignment="1" pivotButton="0" quotePrefix="0" xfId="0">
      <alignment horizontal="center" vertical="center"/>
    </xf>
    <xf numFmtId="0" fontId="7" fillId="4" borderId="1" applyAlignment="1" pivotButton="0" quotePrefix="0" xfId="0">
      <alignment horizontal="center" vertical="center"/>
    </xf>
    <xf numFmtId="0" fontId="0" fillId="4" borderId="1" applyAlignment="1" pivotButton="0" quotePrefix="0" xfId="0">
      <alignment vertical="center"/>
    </xf>
    <xf numFmtId="166" fontId="0" fillId="0" borderId="1" applyAlignment="1" pivotButton="0" quotePrefix="0" xfId="0">
      <alignment vertical="center"/>
    </xf>
    <xf numFmtId="14" fontId="0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vertical="center"/>
    </xf>
    <xf numFmtId="0" fontId="10" fillId="5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14" fontId="0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4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pivotButton="0" quotePrefix="0" xfId="0"/>
    <xf numFmtId="164" fontId="0" fillId="0" borderId="1" applyAlignment="1" pivotButton="0" quotePrefix="0" xfId="1">
      <alignment vertical="center"/>
    </xf>
    <xf numFmtId="164" fontId="0" fillId="0" borderId="1" applyAlignment="1" pivotButton="0" quotePrefix="0" xfId="1">
      <alignment horizontal="center" vertical="center"/>
    </xf>
    <xf numFmtId="165" fontId="0" fillId="0" borderId="0" applyAlignment="1" pivotButton="0" quotePrefix="0" xfId="0">
      <alignment vertical="center"/>
    </xf>
    <xf numFmtId="165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164" fontId="0" fillId="0" borderId="1" applyAlignment="1" pivotButton="0" quotePrefix="0" xfId="0">
      <alignment vertical="center"/>
    </xf>
  </cellXfs>
  <cellStyles count="2">
    <cellStyle name="표준" xfId="0" builtinId="0"/>
    <cellStyle name="쉼표 [0]" xfId="1" builtinId="6"/>
  </cellStyles>
  <dxfs count="1">
    <dxf>
      <font>
        <color rgb="FF0070C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title>
    <plotArea>
      <layout/>
      <barChart>
        <barDir val="bar"/>
        <grouping val="clustered"/>
        <varyColors val="0"/>
        <ser>
          <idx val="0"/>
          <order val="0"/>
          <tx>
            <strRef>
              <f>차트작업!$B$3</f>
              <strCache>
                <ptCount val="1"/>
                <pt idx="0">
                  <v>1월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베이직문법</v>
                </pt>
                <pt idx="1">
                  <v>TOEIC 기초</v>
                </pt>
                <pt idx="2">
                  <v>TOEIC 중급</v>
                </pt>
                <pt idx="3">
                  <v>TOEIC 고급</v>
                </pt>
                <pt idx="4">
                  <v>토익스피킹</v>
                </pt>
              </strCache>
            </strRef>
          </cat>
          <val>
            <numRef>
              <f>차트작업!$B$4:$B$8</f>
              <numCache>
                <formatCode>General</formatCode>
                <ptCount val="5"/>
                <pt idx="0">
                  <v>64</v>
                </pt>
                <pt idx="1">
                  <v>56</v>
                </pt>
                <pt idx="2">
                  <v>66</v>
                </pt>
                <pt idx="3">
                  <v>97</v>
                </pt>
                <pt idx="4">
                  <v>81</v>
                </pt>
              </numCache>
            </numRef>
          </val>
        </ser>
        <ser>
          <idx val="1"/>
          <order val="1"/>
          <tx>
            <strRef>
              <f>차트작업!$C$3</f>
              <strCache>
                <ptCount val="1"/>
                <pt idx="0">
                  <v>2월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베이직문법</v>
                </pt>
                <pt idx="1">
                  <v>TOEIC 기초</v>
                </pt>
                <pt idx="2">
                  <v>TOEIC 중급</v>
                </pt>
                <pt idx="3">
                  <v>TOEIC 고급</v>
                </pt>
                <pt idx="4">
                  <v>토익스피킹</v>
                </pt>
              </strCache>
            </strRef>
          </cat>
          <val>
            <numRef>
              <f>차트작업!$C$4:$C$8</f>
              <numCache>
                <formatCode>General</formatCode>
                <ptCount val="5"/>
                <pt idx="0">
                  <v>58</v>
                </pt>
                <pt idx="1">
                  <v>76</v>
                </pt>
                <pt idx="2">
                  <v>69</v>
                </pt>
                <pt idx="3">
                  <v>90</v>
                </pt>
                <pt idx="4">
                  <v>93</v>
                </pt>
              </numCache>
            </numRef>
          </val>
        </ser>
        <ser>
          <idx val="2"/>
          <order val="2"/>
          <tx>
            <strRef>
              <f>차트작업!$D$3</f>
              <strCache>
                <ptCount val="1"/>
                <pt idx="0">
                  <v>3월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베이직문법</v>
                </pt>
                <pt idx="1">
                  <v>TOEIC 기초</v>
                </pt>
                <pt idx="2">
                  <v>TOEIC 중급</v>
                </pt>
                <pt idx="3">
                  <v>TOEIC 고급</v>
                </pt>
                <pt idx="4">
                  <v>토익스피킹</v>
                </pt>
              </strCache>
            </strRef>
          </cat>
          <val>
            <numRef>
              <f>차트작업!$D$4:$D$8</f>
              <numCache>
                <formatCode>General</formatCode>
                <ptCount val="5"/>
                <pt idx="0">
                  <v>76</v>
                </pt>
                <pt idx="1">
                  <v>74</v>
                </pt>
                <pt idx="2">
                  <v>48</v>
                </pt>
                <pt idx="3">
                  <v>86</v>
                </pt>
                <pt idx="4">
                  <v>94</v>
                </pt>
              </numCache>
            </numRef>
          </val>
        </ser>
        <ser>
          <idx val="3"/>
          <order val="3"/>
          <tx>
            <strRef>
              <f>차트작업!$E$3</f>
              <strCache>
                <ptCount val="1"/>
                <pt idx="0">
                  <v>4월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베이직문법</v>
                </pt>
                <pt idx="1">
                  <v>TOEIC 기초</v>
                </pt>
                <pt idx="2">
                  <v>TOEIC 중급</v>
                </pt>
                <pt idx="3">
                  <v>TOEIC 고급</v>
                </pt>
                <pt idx="4">
                  <v>토익스피킹</v>
                </pt>
              </strCache>
            </strRef>
          </cat>
          <val>
            <numRef>
              <f>차트작업!$E$4:$E$8</f>
              <numCache>
                <formatCode>General</formatCode>
                <ptCount val="5"/>
                <pt idx="0">
                  <v>61</v>
                </pt>
                <pt idx="1">
                  <v>81</v>
                </pt>
                <pt idx="2">
                  <v>68</v>
                </pt>
                <pt idx="3">
                  <v>78</v>
                </pt>
                <pt idx="4">
                  <v>90</v>
                </pt>
              </numCache>
            </numRef>
          </val>
        </ser>
        <ser>
          <idx val="4"/>
          <order val="4"/>
          <tx>
            <strRef>
              <f>차트작업!$F$3</f>
              <strCache>
                <ptCount val="1"/>
                <pt idx="0">
                  <v>5월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베이직문법</v>
                </pt>
                <pt idx="1">
                  <v>TOEIC 기초</v>
                </pt>
                <pt idx="2">
                  <v>TOEIC 중급</v>
                </pt>
                <pt idx="3">
                  <v>TOEIC 고급</v>
                </pt>
                <pt idx="4">
                  <v>토익스피킹</v>
                </pt>
              </strCache>
            </strRef>
          </cat>
          <val>
            <numRef>
              <f>차트작업!$F$4:$F$8</f>
              <numCache>
                <formatCode>General</formatCode>
                <ptCount val="5"/>
                <pt idx="0">
                  <v>59</v>
                </pt>
                <pt idx="1">
                  <v>65</v>
                </pt>
                <pt idx="2">
                  <v>59</v>
                </pt>
                <pt idx="3">
                  <v>97</v>
                </pt>
                <pt idx="4">
                  <v>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1405594479"/>
        <axId val="1405596559"/>
      </barChart>
      <catAx>
        <axId val="1405594479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405596559"/>
        <crosses val="autoZero"/>
        <auto val="1"/>
        <lblAlgn val="ctr"/>
        <lblOffset val="100"/>
        <noMultiLvlLbl val="0"/>
      </catAx>
      <valAx>
        <axId val="1405596559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40559447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0</colOff>
      <row>10</row>
      <rowOff>15920</rowOff>
    </from>
    <to>
      <col>8</col>
      <colOff>659641</colOff>
      <row>26</row>
      <rowOff>216089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abSelected="1" zoomScale="205" zoomScaleNormal="205" workbookViewId="0">
      <selection activeCell="C5" sqref="C5"/>
    </sheetView>
  </sheetViews>
  <sheetFormatPr baseColWidth="8" defaultRowHeight="17.4"/>
  <sheetData>
    <row r="1">
      <c r="A1" s="0" t="inlineStr">
        <is>
          <t>봉사활동 기관 현황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F11"/>
  <sheetViews>
    <sheetView zoomScale="160" zoomScaleNormal="160" workbookViewId="0">
      <selection activeCell="D13" sqref="D13"/>
    </sheetView>
  </sheetViews>
  <sheetFormatPr baseColWidth="8" defaultRowHeight="17.4"/>
  <cols>
    <col width="10.8984375" bestFit="1" customWidth="1" style="27" min="4" max="5"/>
    <col width="15.59765625" bestFit="1" customWidth="1" style="27" min="6" max="6"/>
  </cols>
  <sheetData>
    <row r="1" ht="24" customHeight="1" s="27">
      <c r="A1" s="19" t="inlineStr">
        <is>
          <t>사내 동호회 회원 현황</t>
        </is>
      </c>
      <c r="B1" s="19" t="n"/>
      <c r="C1" s="19" t="n"/>
      <c r="D1" s="19" t="n"/>
      <c r="E1" s="19" t="n"/>
      <c r="F1" s="19" t="n"/>
    </row>
    <row r="3">
      <c r="A3" s="20" t="inlineStr">
        <is>
          <t>부서</t>
        </is>
      </c>
      <c r="B3" s="20" t="inlineStr">
        <is>
          <t>이름</t>
        </is>
      </c>
      <c r="C3" s="20" t="inlineStr">
        <is>
          <t>성별</t>
        </is>
      </c>
      <c r="D3" s="20" t="inlineStr">
        <is>
          <t>직급</t>
        </is>
      </c>
      <c r="E3" s="20" t="inlineStr">
        <is>
          <t>활동구분</t>
        </is>
      </c>
      <c r="F3" s="20" t="inlineStr">
        <is>
          <t>가입일</t>
        </is>
      </c>
    </row>
    <row r="4">
      <c r="A4" s="21" t="inlineStr">
        <is>
          <t>인사팀</t>
        </is>
      </c>
      <c r="B4" s="24" t="inlineStr">
        <is>
          <t>김은지</t>
        </is>
      </c>
      <c r="C4" s="24" t="inlineStr">
        <is>
          <t>여</t>
        </is>
      </c>
      <c r="D4" s="24" t="inlineStr">
        <is>
          <t>대리</t>
        </is>
      </c>
      <c r="E4" s="24" t="inlineStr">
        <is>
          <t>등산</t>
        </is>
      </c>
      <c r="F4" s="22" t="n">
        <v>43852</v>
      </c>
    </row>
    <row r="5">
      <c r="A5" s="21" t="inlineStr">
        <is>
          <t>인사팀</t>
        </is>
      </c>
      <c r="B5" s="24" t="inlineStr">
        <is>
          <t>최지후</t>
        </is>
      </c>
      <c r="C5" s="24" t="inlineStr">
        <is>
          <t>남</t>
        </is>
      </c>
      <c r="D5" s="24" t="inlineStr">
        <is>
          <t>주임</t>
        </is>
      </c>
      <c r="E5" s="24" t="inlineStr">
        <is>
          <t>자전거</t>
        </is>
      </c>
      <c r="F5" s="22" t="n">
        <v>44318</v>
      </c>
    </row>
    <row r="6">
      <c r="A6" s="21" t="inlineStr">
        <is>
          <t>총무팀</t>
        </is>
      </c>
      <c r="B6" s="24" t="inlineStr">
        <is>
          <t>김현우</t>
        </is>
      </c>
      <c r="C6" s="24" t="inlineStr">
        <is>
          <t>남</t>
        </is>
      </c>
      <c r="D6" s="24" t="inlineStr">
        <is>
          <t>과장</t>
        </is>
      </c>
      <c r="E6" s="24" t="inlineStr">
        <is>
          <t>골프</t>
        </is>
      </c>
      <c r="F6" s="22" t="n">
        <v>44145</v>
      </c>
    </row>
    <row r="7">
      <c r="A7" s="21" t="inlineStr">
        <is>
          <t>영업1팀</t>
        </is>
      </c>
      <c r="B7" s="24" t="inlineStr">
        <is>
          <t>김상훈</t>
        </is>
      </c>
      <c r="C7" s="24" t="inlineStr">
        <is>
          <t>남</t>
        </is>
      </c>
      <c r="D7" s="24" t="inlineStr">
        <is>
          <t>주임</t>
        </is>
      </c>
      <c r="E7" s="24" t="inlineStr">
        <is>
          <t>등산</t>
        </is>
      </c>
      <c r="F7" s="22" t="n">
        <v>44129</v>
      </c>
    </row>
    <row r="8">
      <c r="A8" s="21" t="inlineStr">
        <is>
          <t>영업1팀</t>
        </is>
      </c>
      <c r="B8" s="24" t="inlineStr">
        <is>
          <t>백은주</t>
        </is>
      </c>
      <c r="C8" s="24" t="inlineStr">
        <is>
          <t>여</t>
        </is>
      </c>
      <c r="D8" s="24" t="inlineStr">
        <is>
          <t>대리</t>
        </is>
      </c>
      <c r="E8" s="24" t="inlineStr">
        <is>
          <t>골프</t>
        </is>
      </c>
      <c r="F8" s="22" t="n">
        <v>44177</v>
      </c>
    </row>
    <row r="9">
      <c r="A9" s="21" t="inlineStr">
        <is>
          <t>총무팀</t>
        </is>
      </c>
      <c r="B9" s="24" t="inlineStr">
        <is>
          <t>이현수</t>
        </is>
      </c>
      <c r="C9" s="24" t="inlineStr">
        <is>
          <t>여</t>
        </is>
      </c>
      <c r="D9" s="24" t="inlineStr">
        <is>
          <t>대리</t>
        </is>
      </c>
      <c r="E9" s="24" t="inlineStr">
        <is>
          <t>자전거</t>
        </is>
      </c>
      <c r="F9" s="22" t="n">
        <v>44287</v>
      </c>
    </row>
    <row r="10">
      <c r="A10" s="21" t="inlineStr">
        <is>
          <t>영업2팀</t>
        </is>
      </c>
      <c r="B10" s="24" t="inlineStr">
        <is>
          <t>이지훈</t>
        </is>
      </c>
      <c r="C10" s="24" t="inlineStr">
        <is>
          <t>남</t>
        </is>
      </c>
      <c r="D10" s="24" t="inlineStr">
        <is>
          <t>주임</t>
        </is>
      </c>
      <c r="E10" s="24" t="inlineStr">
        <is>
          <t>자전거</t>
        </is>
      </c>
      <c r="F10" s="22" t="n">
        <v>43992</v>
      </c>
    </row>
    <row r="11">
      <c r="A11" s="21" t="inlineStr">
        <is>
          <t>마케팅팀</t>
        </is>
      </c>
      <c r="B11" s="24" t="inlineStr">
        <is>
          <t>임은수</t>
        </is>
      </c>
      <c r="C11" s="24" t="inlineStr">
        <is>
          <t>남</t>
        </is>
      </c>
      <c r="D11" s="24" t="inlineStr">
        <is>
          <t>과장</t>
        </is>
      </c>
      <c r="E11" s="24" t="inlineStr">
        <is>
          <t>골프</t>
        </is>
      </c>
      <c r="F11" s="22" t="n">
        <v>44145</v>
      </c>
    </row>
  </sheetData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E9"/>
  <sheetViews>
    <sheetView zoomScale="205" zoomScaleNormal="205" workbookViewId="0">
      <selection activeCell="G5" sqref="G5"/>
    </sheetView>
  </sheetViews>
  <sheetFormatPr baseColWidth="8" defaultRowHeight="17.4"/>
  <sheetData>
    <row r="1">
      <c r="A1" s="24" t="inlineStr">
        <is>
          <t>정수기 렌탈 현황</t>
        </is>
      </c>
    </row>
    <row r="3">
      <c r="A3" s="26" t="inlineStr">
        <is>
          <t xml:space="preserve">상품코드 </t>
        </is>
      </c>
      <c r="B3" s="26" t="inlineStr">
        <is>
          <t>고객명</t>
        </is>
      </c>
      <c r="C3" s="26" t="inlineStr">
        <is>
          <t>약정기간</t>
        </is>
      </c>
      <c r="D3" s="26" t="inlineStr">
        <is>
          <t>월요금</t>
        </is>
      </c>
      <c r="E3" s="26" t="inlineStr">
        <is>
          <t>렌탈기간</t>
        </is>
      </c>
    </row>
    <row r="4">
      <c r="A4" s="26" t="inlineStr">
        <is>
          <t>AD-125</t>
        </is>
      </c>
      <c r="B4" s="26" t="inlineStr">
        <is>
          <t>김지연</t>
        </is>
      </c>
      <c r="C4" s="26" t="n">
        <v>36</v>
      </c>
      <c r="D4" s="28" t="n">
        <v>22000</v>
      </c>
      <c r="E4" s="26" t="n">
        <v>12</v>
      </c>
    </row>
    <row r="5">
      <c r="A5" s="26" t="inlineStr">
        <is>
          <t>DC-126</t>
        </is>
      </c>
      <c r="B5" s="26" t="inlineStr">
        <is>
          <t>우지혁</t>
        </is>
      </c>
      <c r="C5" s="26" t="n">
        <v>24</v>
      </c>
      <c r="D5" s="28" t="n">
        <v>36000</v>
      </c>
      <c r="E5" s="26" t="n">
        <v>13</v>
      </c>
    </row>
    <row r="6">
      <c r="A6" s="26" t="inlineStr">
        <is>
          <t>AD-125</t>
        </is>
      </c>
      <c r="B6" s="26" t="inlineStr">
        <is>
          <t>임지연</t>
        </is>
      </c>
      <c r="C6" s="26" t="n">
        <v>36</v>
      </c>
      <c r="D6" s="28" t="n">
        <v>25000</v>
      </c>
      <c r="E6" s="26" t="n">
        <v>30</v>
      </c>
    </row>
    <row r="7">
      <c r="A7" s="26" t="inlineStr">
        <is>
          <t>BS-127</t>
        </is>
      </c>
      <c r="B7" s="26" t="inlineStr">
        <is>
          <t>최지현</t>
        </is>
      </c>
      <c r="C7" s="26" t="n">
        <v>24</v>
      </c>
      <c r="D7" s="28" t="n">
        <v>36000</v>
      </c>
      <c r="E7" s="26" t="n">
        <v>5</v>
      </c>
    </row>
    <row r="8">
      <c r="A8" s="26" t="inlineStr">
        <is>
          <t>AS-155</t>
        </is>
      </c>
      <c r="B8" s="26" t="inlineStr">
        <is>
          <t>이우현</t>
        </is>
      </c>
      <c r="C8" s="26" t="n">
        <v>24</v>
      </c>
      <c r="D8" s="28" t="n">
        <v>36000</v>
      </c>
      <c r="E8" s="26" t="n">
        <v>2</v>
      </c>
    </row>
    <row r="9">
      <c r="A9" s="26" t="inlineStr">
        <is>
          <t>HS-211</t>
        </is>
      </c>
      <c r="B9" s="26" t="inlineStr">
        <is>
          <t>김지인</t>
        </is>
      </c>
      <c r="C9" s="26" t="n">
        <v>12</v>
      </c>
      <c r="D9" s="28" t="n">
        <v>40000</v>
      </c>
      <c r="E9" s="26" t="n">
        <v>6</v>
      </c>
    </row>
  </sheetData>
  <mergeCells count="1">
    <mergeCell ref="A1:E1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K31"/>
  <sheetViews>
    <sheetView topLeftCell="A16" zoomScale="145" zoomScaleNormal="145" workbookViewId="0">
      <selection activeCell="E28" sqref="E28"/>
    </sheetView>
  </sheetViews>
  <sheetFormatPr baseColWidth="8" defaultRowHeight="17.4"/>
  <cols>
    <col width="9" customWidth="1" style="27" min="1" max="1"/>
    <col width="10.8984375" bestFit="1" customWidth="1" style="27" min="3" max="3"/>
    <col width="11.19921875" customWidth="1" style="27" min="4" max="4"/>
    <col width="25" customWidth="1" style="27" min="5" max="5"/>
    <col width="9.69921875" customWidth="1" style="27" min="8" max="8"/>
    <col width="10.3984375" customWidth="1" style="27" min="9" max="9"/>
    <col width="11.3984375" customWidth="1" style="27" min="10" max="10"/>
  </cols>
  <sheetData>
    <row r="1">
      <c r="A1" s="0" t="inlineStr">
        <is>
          <t>[표1]</t>
        </is>
      </c>
      <c r="B1" s="0" t="inlineStr">
        <is>
          <t>6급 인사 평점 현황</t>
        </is>
      </c>
      <c r="G1" s="0" t="inlineStr">
        <is>
          <t>[표2]</t>
        </is>
      </c>
      <c r="H1" s="0" t="inlineStr">
        <is>
          <t>일반의약품 판매 현황</t>
        </is>
      </c>
    </row>
    <row r="2">
      <c r="A2" s="26" t="inlineStr">
        <is>
          <t>직급</t>
        </is>
      </c>
      <c r="B2" s="26" t="inlineStr">
        <is>
          <t>이름</t>
        </is>
      </c>
      <c r="C2" s="26" t="inlineStr">
        <is>
          <t>소속팀</t>
        </is>
      </c>
      <c r="D2" s="26" t="inlineStr">
        <is>
          <t>종합 점수</t>
        </is>
      </c>
      <c r="E2" s="25" t="inlineStr">
        <is>
          <t>기획조정팀 외 종합 점수 합</t>
        </is>
      </c>
      <c r="G2" s="26" t="inlineStr">
        <is>
          <t>품목코드</t>
        </is>
      </c>
      <c r="H2" s="26" t="inlineStr">
        <is>
          <t>효능군</t>
        </is>
      </c>
      <c r="I2" s="26" t="inlineStr">
        <is>
          <t>판매수량</t>
        </is>
      </c>
      <c r="J2" s="25" t="inlineStr">
        <is>
          <t>금액</t>
        </is>
      </c>
    </row>
    <row r="3">
      <c r="A3" s="5" t="inlineStr">
        <is>
          <t>6급</t>
        </is>
      </c>
      <c r="B3" s="5" t="inlineStr">
        <is>
          <t>김지현</t>
        </is>
      </c>
      <c r="C3" s="5" t="inlineStr">
        <is>
          <t>인재개발팀</t>
        </is>
      </c>
      <c r="D3" s="5" t="n">
        <v>89.5</v>
      </c>
      <c r="E3" s="26" t="n"/>
      <c r="G3" s="5" t="inlineStr">
        <is>
          <t>T-1258</t>
        </is>
      </c>
      <c r="H3" s="5" t="inlineStr">
        <is>
          <t>해열진통제</t>
        </is>
      </c>
      <c r="I3" s="5" t="n">
        <v>15</v>
      </c>
      <c r="J3" s="28" t="n"/>
    </row>
    <row r="4">
      <c r="A4" s="5" t="inlineStr">
        <is>
          <t>6급</t>
        </is>
      </c>
      <c r="B4" s="5" t="inlineStr">
        <is>
          <t>우현지</t>
        </is>
      </c>
      <c r="C4" s="5" t="inlineStr">
        <is>
          <t>기획조정팀</t>
        </is>
      </c>
      <c r="D4" s="5" t="n">
        <v>94.59999999999999</v>
      </c>
      <c r="G4" s="5" t="inlineStr">
        <is>
          <t>C-2918</t>
        </is>
      </c>
      <c r="H4" s="5" t="inlineStr">
        <is>
          <t>감기약</t>
        </is>
      </c>
      <c r="I4" s="5" t="n">
        <v>23</v>
      </c>
      <c r="J4" s="28" t="n"/>
    </row>
    <row r="5">
      <c r="A5" s="5" t="inlineStr">
        <is>
          <t>6급</t>
        </is>
      </c>
      <c r="B5" s="5" t="inlineStr">
        <is>
          <t>최태형</t>
        </is>
      </c>
      <c r="C5" s="5" t="inlineStr">
        <is>
          <t>기획조정팀</t>
        </is>
      </c>
      <c r="D5" s="5" t="n">
        <v>97.09999999999999</v>
      </c>
      <c r="G5" s="5" t="inlineStr">
        <is>
          <t>S-2981</t>
        </is>
      </c>
      <c r="H5" s="5" t="inlineStr">
        <is>
          <t>소화제</t>
        </is>
      </c>
      <c r="I5" s="5" t="n">
        <v>7</v>
      </c>
      <c r="J5" s="28" t="n"/>
    </row>
    <row r="6">
      <c r="A6" s="5" t="inlineStr">
        <is>
          <t>6급</t>
        </is>
      </c>
      <c r="B6" s="5" t="inlineStr">
        <is>
          <t>김태환</t>
        </is>
      </c>
      <c r="C6" s="5" t="inlineStr">
        <is>
          <t>구매팀</t>
        </is>
      </c>
      <c r="D6" s="5" t="n">
        <v>87.09999999999999</v>
      </c>
      <c r="G6" s="5" t="inlineStr">
        <is>
          <t>E-1925</t>
        </is>
      </c>
      <c r="H6" s="5" t="inlineStr">
        <is>
          <t>파스</t>
        </is>
      </c>
      <c r="I6" s="5" t="n">
        <v>34</v>
      </c>
      <c r="J6" s="28" t="n"/>
    </row>
    <row r="7">
      <c r="A7" s="5" t="inlineStr">
        <is>
          <t>6급</t>
        </is>
      </c>
      <c r="B7" s="5" t="inlineStr">
        <is>
          <t>임지훈</t>
        </is>
      </c>
      <c r="C7" s="5" t="inlineStr">
        <is>
          <t>운영지원팀</t>
        </is>
      </c>
      <c r="D7" s="5" t="n">
        <v>80.2</v>
      </c>
      <c r="G7" s="5" t="inlineStr">
        <is>
          <t>D-1286</t>
        </is>
      </c>
      <c r="H7" s="5" t="inlineStr">
        <is>
          <t>밴드</t>
        </is>
      </c>
      <c r="I7" s="5" t="n">
        <v>8</v>
      </c>
      <c r="J7" s="28" t="n"/>
    </row>
    <row r="8">
      <c r="A8" s="5" t="inlineStr">
        <is>
          <t>6급</t>
        </is>
      </c>
      <c r="B8" s="5" t="inlineStr">
        <is>
          <t>오지인</t>
        </is>
      </c>
      <c r="C8" s="5" t="inlineStr">
        <is>
          <t>회계관리팀</t>
        </is>
      </c>
      <c r="D8" s="5" t="n">
        <v>91.09999999999999</v>
      </c>
    </row>
    <row r="9">
      <c r="A9" s="5" t="inlineStr">
        <is>
          <t>6급</t>
        </is>
      </c>
      <c r="B9" s="5" t="inlineStr">
        <is>
          <t>이시훈</t>
        </is>
      </c>
      <c r="C9" s="5" t="inlineStr">
        <is>
          <t>구매팀</t>
        </is>
      </c>
      <c r="D9" s="5" t="n">
        <v>96.8</v>
      </c>
      <c r="G9" s="24" t="inlineStr">
        <is>
          <t>품목별 단가</t>
        </is>
      </c>
    </row>
    <row r="10">
      <c r="G10" s="29" t="inlineStr">
        <is>
          <t>T</t>
        </is>
      </c>
      <c r="H10" s="29" t="inlineStr">
        <is>
          <t>C</t>
        </is>
      </c>
      <c r="I10" s="29" t="inlineStr">
        <is>
          <t>S</t>
        </is>
      </c>
      <c r="J10" s="29" t="inlineStr">
        <is>
          <t>E</t>
        </is>
      </c>
      <c r="K10" s="29" t="inlineStr">
        <is>
          <t>D</t>
        </is>
      </c>
    </row>
    <row r="11">
      <c r="G11" s="29" t="n">
        <v>3000</v>
      </c>
      <c r="H11" s="29" t="n">
        <v>2500</v>
      </c>
      <c r="I11" s="29" t="n">
        <v>2200</v>
      </c>
      <c r="J11" s="29" t="n">
        <v>3700</v>
      </c>
      <c r="K11" s="29" t="n">
        <v>1200</v>
      </c>
    </row>
    <row r="13">
      <c r="A13" s="30" t="inlineStr">
        <is>
          <t>[표3]</t>
        </is>
      </c>
      <c r="B13" s="0" t="inlineStr">
        <is>
          <t xml:space="preserve">상반기 채용 평가 점수 </t>
        </is>
      </c>
      <c r="G13" s="0" t="inlineStr">
        <is>
          <t>[표4]</t>
        </is>
      </c>
      <c r="H13" s="0" t="inlineStr">
        <is>
          <t>주공1단지 매매목록</t>
        </is>
      </c>
    </row>
    <row r="14">
      <c r="A14" s="26" t="inlineStr">
        <is>
          <t>수험번호</t>
        </is>
      </c>
      <c r="B14" s="31" t="inlineStr">
        <is>
          <t>성명</t>
        </is>
      </c>
      <c r="C14" s="26" t="inlineStr">
        <is>
          <t xml:space="preserve">최종점수 </t>
        </is>
      </c>
      <c r="D14" s="25" t="inlineStr">
        <is>
          <t>합격여부</t>
        </is>
      </c>
      <c r="G14" s="26" t="inlineStr">
        <is>
          <t>동</t>
        </is>
      </c>
      <c r="H14" s="26" t="inlineStr">
        <is>
          <t>층수</t>
        </is>
      </c>
      <c r="I14" s="26" t="inlineStr">
        <is>
          <t>평수</t>
        </is>
      </c>
      <c r="J14" s="26" t="inlineStr">
        <is>
          <t>평단가(만원)</t>
        </is>
      </c>
    </row>
    <row r="15">
      <c r="A15" s="26" t="n">
        <v>102010</v>
      </c>
      <c r="B15" s="26" t="inlineStr">
        <is>
          <t>김우혁</t>
        </is>
      </c>
      <c r="C15" s="26" t="n">
        <v>98</v>
      </c>
      <c r="D15" s="26" t="n"/>
      <c r="G15" s="26" t="n">
        <v>101</v>
      </c>
      <c r="H15" s="26" t="n">
        <v>5</v>
      </c>
      <c r="I15" s="26" t="n">
        <v>24</v>
      </c>
      <c r="J15" s="29" t="n">
        <v>3200</v>
      </c>
    </row>
    <row r="16">
      <c r="A16" s="26" t="n">
        <v>102018</v>
      </c>
      <c r="B16" s="26" t="inlineStr">
        <is>
          <t>오현수</t>
        </is>
      </c>
      <c r="C16" s="26" t="n">
        <v>88</v>
      </c>
      <c r="D16" s="26" t="n"/>
      <c r="G16" s="26" t="n">
        <v>112</v>
      </c>
      <c r="H16" s="26" t="n">
        <v>12</v>
      </c>
      <c r="I16" s="26" t="n">
        <v>35</v>
      </c>
      <c r="J16" s="29" t="n">
        <v>3100</v>
      </c>
    </row>
    <row r="17">
      <c r="A17" s="26" t="n">
        <v>102110</v>
      </c>
      <c r="B17" s="26" t="inlineStr">
        <is>
          <t>권현주</t>
        </is>
      </c>
      <c r="C17" s="26" t="n">
        <v>89</v>
      </c>
      <c r="D17" s="26" t="n"/>
      <c r="G17" s="26" t="n">
        <v>110</v>
      </c>
      <c r="H17" s="26" t="n">
        <v>10</v>
      </c>
      <c r="I17" s="26" t="n">
        <v>35</v>
      </c>
      <c r="J17" s="29" t="n">
        <v>3100</v>
      </c>
    </row>
    <row r="18">
      <c r="A18" s="26" t="n">
        <v>102227</v>
      </c>
      <c r="B18" s="26" t="inlineStr">
        <is>
          <t>김보람</t>
        </is>
      </c>
      <c r="C18" s="26" t="n">
        <v>96</v>
      </c>
      <c r="D18" s="26" t="n"/>
      <c r="G18" s="26" t="n">
        <v>101</v>
      </c>
      <c r="H18" s="26" t="n">
        <v>1</v>
      </c>
      <c r="I18" s="26" t="n">
        <v>24</v>
      </c>
      <c r="J18" s="29" t="n">
        <v>3200</v>
      </c>
    </row>
    <row r="19">
      <c r="A19" s="26" t="n">
        <v>102270</v>
      </c>
      <c r="B19" s="26" t="inlineStr">
        <is>
          <t>최진혁</t>
        </is>
      </c>
      <c r="C19" s="26" t="n">
        <v>92</v>
      </c>
      <c r="D19" s="26" t="n"/>
      <c r="G19" s="26" t="n">
        <v>103</v>
      </c>
      <c r="H19" s="26" t="n">
        <v>15</v>
      </c>
      <c r="I19" s="26" t="n">
        <v>28</v>
      </c>
      <c r="J19" s="29" t="n">
        <v>3200</v>
      </c>
    </row>
    <row r="20">
      <c r="A20" s="26" t="n">
        <v>102300</v>
      </c>
      <c r="B20" s="26" t="inlineStr">
        <is>
          <t>최아람</t>
        </is>
      </c>
      <c r="C20" s="26" t="n">
        <v>95</v>
      </c>
      <c r="D20" s="26" t="n"/>
      <c r="G20" s="26" t="n">
        <v>105</v>
      </c>
      <c r="H20" s="26" t="n">
        <v>18</v>
      </c>
      <c r="I20" s="26" t="n">
        <v>45</v>
      </c>
      <c r="J20" s="29" t="n">
        <v>3000</v>
      </c>
    </row>
    <row r="21">
      <c r="A21" s="26" t="n">
        <v>102302</v>
      </c>
      <c r="B21" s="26" t="inlineStr">
        <is>
          <t>한지혁</t>
        </is>
      </c>
      <c r="C21" s="26" t="n">
        <v>89</v>
      </c>
      <c r="D21" s="26">
        <f>IF(_xlfn.RANK.AVG(C21,$C$15:$C$21,0)&lt;=2,"합격","")</f>
        <v/>
      </c>
      <c r="G21" s="25" t="inlineStr">
        <is>
          <t>20평대 매매건수</t>
        </is>
      </c>
      <c r="H21" s="32" t="n"/>
      <c r="I21" s="33" t="n"/>
      <c r="J21" s="26" t="n"/>
    </row>
    <row r="24">
      <c r="A24" s="0" t="inlineStr">
        <is>
          <t>[표5]</t>
        </is>
      </c>
      <c r="B24" s="0" t="inlineStr">
        <is>
          <t>1월 출장일정표</t>
        </is>
      </c>
    </row>
    <row r="25">
      <c r="A25" s="26" t="inlineStr">
        <is>
          <t>이름</t>
        </is>
      </c>
      <c r="B25" s="26" t="inlineStr">
        <is>
          <t>부서</t>
        </is>
      </c>
      <c r="C25" s="26" t="inlineStr">
        <is>
          <t>출장시작일</t>
        </is>
      </c>
      <c r="D25" s="26" t="inlineStr">
        <is>
          <t>출장일수</t>
        </is>
      </c>
      <c r="E25" s="25" t="inlineStr">
        <is>
          <t>사무실출근일</t>
        </is>
      </c>
    </row>
    <row r="26">
      <c r="A26" s="26" t="inlineStr">
        <is>
          <t>김지영</t>
        </is>
      </c>
      <c r="B26" s="26" t="inlineStr">
        <is>
          <t>영업1</t>
        </is>
      </c>
      <c r="C26" s="10" t="n">
        <v>46024</v>
      </c>
      <c r="D26" s="26" t="n">
        <v>2</v>
      </c>
      <c r="E26" s="10" t="n"/>
    </row>
    <row r="27">
      <c r="A27" s="26" t="inlineStr">
        <is>
          <t>김지은</t>
        </is>
      </c>
      <c r="B27" s="26" t="inlineStr">
        <is>
          <t>영업2</t>
        </is>
      </c>
      <c r="C27" s="10" t="n">
        <v>46038</v>
      </c>
      <c r="D27" s="26" t="n">
        <v>10</v>
      </c>
      <c r="E27" s="10" t="n"/>
    </row>
    <row r="28">
      <c r="A28" s="26" t="inlineStr">
        <is>
          <t>우영철</t>
        </is>
      </c>
      <c r="B28" s="26" t="inlineStr">
        <is>
          <t>영업2</t>
        </is>
      </c>
      <c r="C28" s="10" t="n">
        <v>46039</v>
      </c>
      <c r="D28" s="26" t="n">
        <v>7</v>
      </c>
      <c r="E28" s="10" t="n"/>
    </row>
    <row r="29">
      <c r="A29" s="26" t="inlineStr">
        <is>
          <t>이현수</t>
        </is>
      </c>
      <c r="B29" s="26" t="inlineStr">
        <is>
          <t>영업1</t>
        </is>
      </c>
      <c r="C29" s="10" t="n">
        <v>46039</v>
      </c>
      <c r="D29" s="26" t="n">
        <v>5</v>
      </c>
      <c r="E29" s="10" t="n"/>
    </row>
    <row r="30">
      <c r="A30" s="26" t="inlineStr">
        <is>
          <t>이혁진</t>
        </is>
      </c>
      <c r="B30" s="26" t="inlineStr">
        <is>
          <t>영업3</t>
        </is>
      </c>
      <c r="C30" s="10" t="n">
        <v>46047</v>
      </c>
      <c r="D30" s="26" t="n">
        <v>15</v>
      </c>
      <c r="E30" s="10" t="n"/>
    </row>
    <row r="31">
      <c r="A31" s="26" t="inlineStr">
        <is>
          <t>한지혁</t>
        </is>
      </c>
      <c r="B31" s="26" t="inlineStr">
        <is>
          <t>영업2</t>
        </is>
      </c>
      <c r="C31" s="10" t="n">
        <v>46050</v>
      </c>
      <c r="D31" s="26" t="n">
        <v>2</v>
      </c>
      <c r="E31" s="10" t="n"/>
    </row>
  </sheetData>
  <mergeCells count="2">
    <mergeCell ref="G21:I21"/>
    <mergeCell ref="G9:K9"/>
  </mergeCells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9">
    <outlinePr summaryBelow="1" summaryRight="1"/>
    <pageSetUpPr/>
  </sheetPr>
  <dimension ref="A1:E17"/>
  <sheetViews>
    <sheetView zoomScale="160" zoomScaleNormal="160" workbookViewId="0">
      <selection activeCell="F21" sqref="F21"/>
    </sheetView>
  </sheetViews>
  <sheetFormatPr baseColWidth="8" defaultRowHeight="17.4"/>
  <cols>
    <col width="11" bestFit="1" customWidth="1" style="27" min="1" max="1"/>
    <col width="15.19921875" bestFit="1" customWidth="1" style="27" min="2" max="3"/>
    <col width="11.59765625" bestFit="1" customWidth="1" style="27" min="5" max="5"/>
  </cols>
  <sheetData>
    <row r="1">
      <c r="A1" s="24" t="inlineStr">
        <is>
          <t>주방 가전제품 거래 내역</t>
        </is>
      </c>
    </row>
    <row r="3">
      <c r="A3" s="25" t="inlineStr">
        <is>
          <t>판매일</t>
        </is>
      </c>
      <c r="B3" s="25" t="inlineStr">
        <is>
          <t>판매처</t>
        </is>
      </c>
      <c r="C3" s="25" t="inlineStr">
        <is>
          <t>품명</t>
        </is>
      </c>
      <c r="D3" s="25" t="inlineStr">
        <is>
          <t>판매수량</t>
        </is>
      </c>
      <c r="E3" s="25" t="inlineStr">
        <is>
          <t>판매단가</t>
        </is>
      </c>
    </row>
    <row r="4">
      <c r="A4" s="10" t="n">
        <v>44217</v>
      </c>
      <c r="B4" s="26" t="inlineStr">
        <is>
          <t>해운대지점</t>
        </is>
      </c>
      <c r="C4" s="26" t="inlineStr">
        <is>
          <t>식기세척기</t>
        </is>
      </c>
      <c r="D4" s="26" t="n">
        <v>5</v>
      </c>
      <c r="E4" s="29" t="n">
        <v>720000</v>
      </c>
    </row>
    <row r="5">
      <c r="A5" s="10" t="n">
        <v>44217</v>
      </c>
      <c r="B5" s="26" t="inlineStr">
        <is>
          <t>동래지점</t>
        </is>
      </c>
      <c r="C5" s="26" t="inlineStr">
        <is>
          <t>전자레인지</t>
        </is>
      </c>
      <c r="D5" s="26" t="n">
        <v>9</v>
      </c>
      <c r="E5" s="29" t="n">
        <v>320000</v>
      </c>
    </row>
    <row r="6">
      <c r="A6" s="10" t="n">
        <v>44218</v>
      </c>
      <c r="B6" s="26" t="inlineStr">
        <is>
          <t>해운대지점</t>
        </is>
      </c>
      <c r="C6" s="26" t="inlineStr">
        <is>
          <t>전자레인지</t>
        </is>
      </c>
      <c r="D6" s="26" t="n">
        <v>2</v>
      </c>
      <c r="E6" s="29" t="n">
        <v>374000</v>
      </c>
    </row>
    <row r="7">
      <c r="A7" s="10" t="n">
        <v>44218</v>
      </c>
      <c r="B7" s="26" t="inlineStr">
        <is>
          <t>동래지점</t>
        </is>
      </c>
      <c r="C7" s="26" t="inlineStr">
        <is>
          <t>토스터기</t>
        </is>
      </c>
      <c r="D7" s="26" t="n">
        <v>5</v>
      </c>
      <c r="E7" s="29" t="n">
        <v>87000</v>
      </c>
    </row>
    <row r="8">
      <c r="A8" s="10" t="n">
        <v>44218</v>
      </c>
      <c r="B8" s="26" t="inlineStr">
        <is>
          <t>영도지점</t>
        </is>
      </c>
      <c r="C8" s="26" t="inlineStr">
        <is>
          <t>김치냉장고</t>
        </is>
      </c>
      <c r="D8" s="26" t="n">
        <v>6</v>
      </c>
      <c r="E8" s="29" t="n">
        <v>2780000</v>
      </c>
    </row>
    <row r="9">
      <c r="A9" s="10" t="n">
        <v>44218</v>
      </c>
      <c r="B9" s="26" t="inlineStr">
        <is>
          <t>수영지점</t>
        </is>
      </c>
      <c r="C9" s="26" t="inlineStr">
        <is>
          <t>김치냉장고</t>
        </is>
      </c>
      <c r="D9" s="26" t="n">
        <v>4</v>
      </c>
      <c r="E9" s="29" t="n">
        <v>2340000</v>
      </c>
    </row>
    <row r="10">
      <c r="A10" s="10" t="n">
        <v>44219</v>
      </c>
      <c r="B10" s="26" t="inlineStr">
        <is>
          <t>사상지점</t>
        </is>
      </c>
      <c r="C10" s="26" t="inlineStr">
        <is>
          <t>전자레인지</t>
        </is>
      </c>
      <c r="D10" s="26" t="n">
        <v>5</v>
      </c>
      <c r="E10" s="29" t="n">
        <v>280000</v>
      </c>
    </row>
    <row r="11">
      <c r="A11" s="10" t="n">
        <v>44220</v>
      </c>
      <c r="B11" s="26" t="inlineStr">
        <is>
          <t>사상지점</t>
        </is>
      </c>
      <c r="C11" s="26" t="inlineStr">
        <is>
          <t>식기세척기</t>
        </is>
      </c>
      <c r="D11" s="26" t="n">
        <v>3</v>
      </c>
      <c r="E11" s="29" t="n">
        <v>453000</v>
      </c>
    </row>
    <row r="12">
      <c r="A12" s="10" t="n">
        <v>44220</v>
      </c>
      <c r="B12" s="26" t="inlineStr">
        <is>
          <t>영도지점</t>
        </is>
      </c>
      <c r="C12" s="26" t="inlineStr">
        <is>
          <t>믹서기</t>
        </is>
      </c>
      <c r="D12" s="26" t="n">
        <v>5</v>
      </c>
      <c r="E12" s="29" t="n">
        <v>217000</v>
      </c>
    </row>
    <row r="13">
      <c r="A13" s="10" t="n">
        <v>44220</v>
      </c>
      <c r="B13" s="26" t="inlineStr">
        <is>
          <t>서면지점</t>
        </is>
      </c>
      <c r="C13" s="26" t="inlineStr">
        <is>
          <t>믹서기</t>
        </is>
      </c>
      <c r="D13" s="26" t="n">
        <v>6</v>
      </c>
      <c r="E13" s="29" t="n">
        <v>230000</v>
      </c>
    </row>
    <row r="14">
      <c r="A14" s="10" t="n">
        <v>44221</v>
      </c>
      <c r="B14" s="26" t="inlineStr">
        <is>
          <t>서면지점</t>
        </is>
      </c>
      <c r="C14" s="26" t="inlineStr">
        <is>
          <t>토스터기</t>
        </is>
      </c>
      <c r="D14" s="26" t="n">
        <v>5</v>
      </c>
      <c r="E14" s="29" t="n">
        <v>110000</v>
      </c>
    </row>
    <row r="15">
      <c r="A15" s="10" t="n">
        <v>44221</v>
      </c>
      <c r="B15" s="26" t="inlineStr">
        <is>
          <t>영도지점</t>
        </is>
      </c>
      <c r="C15" s="26" t="inlineStr">
        <is>
          <t>김치냉장고</t>
        </is>
      </c>
      <c r="D15" s="26" t="n">
        <v>16</v>
      </c>
      <c r="E15" s="29" t="n">
        <v>2540000</v>
      </c>
    </row>
    <row r="16">
      <c r="A16" s="10" t="n">
        <v>44221</v>
      </c>
      <c r="B16" s="26" t="inlineStr">
        <is>
          <t>해운대지점</t>
        </is>
      </c>
      <c r="C16" s="26" t="inlineStr">
        <is>
          <t>김치냉장고</t>
        </is>
      </c>
      <c r="D16" s="26" t="n">
        <v>10</v>
      </c>
      <c r="E16" s="29" t="n">
        <v>2800000</v>
      </c>
    </row>
    <row r="17">
      <c r="A17" s="10" t="n">
        <v>44222</v>
      </c>
      <c r="B17" s="26" t="inlineStr">
        <is>
          <t>해운대지점</t>
        </is>
      </c>
      <c r="C17" s="26" t="inlineStr">
        <is>
          <t>전자레인지</t>
        </is>
      </c>
      <c r="D17" s="26" t="n">
        <v>8</v>
      </c>
      <c r="E17" s="29" t="n">
        <v>236000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1">
    <outlinePr summaryBelow="1" summaryRight="1"/>
    <pageSetUpPr/>
  </sheetPr>
  <dimension ref="A1:I23"/>
  <sheetViews>
    <sheetView zoomScale="145" zoomScaleNormal="145" workbookViewId="0">
      <selection activeCell="H7" sqref="H7"/>
    </sheetView>
  </sheetViews>
  <sheetFormatPr baseColWidth="8" defaultRowHeight="17.4"/>
  <cols>
    <col width="17.19921875" customWidth="1" style="27" min="1" max="1"/>
    <col width="18.09765625" bestFit="1" customWidth="1" style="27" min="6" max="6"/>
  </cols>
  <sheetData>
    <row r="1">
      <c r="A1" s="0" t="inlineStr">
        <is>
          <t>[표1] 제주점</t>
        </is>
      </c>
      <c r="F1" s="26" t="inlineStr">
        <is>
          <t>전체판매수량</t>
        </is>
      </c>
      <c r="G1" s="32" t="n"/>
      <c r="H1" s="32" t="n"/>
      <c r="I1" s="33" t="n"/>
    </row>
    <row r="2">
      <c r="A2" s="25" t="inlineStr">
        <is>
          <t>구분</t>
        </is>
      </c>
      <c r="B2" s="25" t="inlineStr">
        <is>
          <t>1월</t>
        </is>
      </c>
      <c r="C2" s="25" t="inlineStr">
        <is>
          <t>2월</t>
        </is>
      </c>
      <c r="D2" s="25" t="inlineStr">
        <is>
          <t>3월</t>
        </is>
      </c>
      <c r="F2" s="25" t="inlineStr">
        <is>
          <t>구분</t>
        </is>
      </c>
      <c r="G2" s="25" t="inlineStr">
        <is>
          <t>1월</t>
        </is>
      </c>
      <c r="H2" s="25" t="inlineStr">
        <is>
          <t>2월</t>
        </is>
      </c>
      <c r="I2" s="25" t="inlineStr">
        <is>
          <t>3월</t>
        </is>
      </c>
    </row>
    <row r="3">
      <c r="A3" s="5" t="inlineStr">
        <is>
          <t>웨딩그린티</t>
        </is>
      </c>
      <c r="B3" s="5" t="n">
        <v>125</v>
      </c>
      <c r="C3" s="5" t="n">
        <v>161</v>
      </c>
      <c r="D3" s="5" t="n">
        <v>126</v>
      </c>
      <c r="F3" s="5" t="inlineStr">
        <is>
          <t>웨딩그린티</t>
        </is>
      </c>
      <c r="G3" s="5" t="n"/>
      <c r="H3" s="5" t="n"/>
      <c r="I3" s="5" t="n"/>
    </row>
    <row r="4">
      <c r="A4" s="5" t="inlineStr">
        <is>
          <t>제주동백꽃티</t>
        </is>
      </c>
      <c r="B4" s="5" t="n">
        <v>390</v>
      </c>
      <c r="C4" s="5" t="n">
        <v>236</v>
      </c>
      <c r="D4" s="5" t="n">
        <v>128</v>
      </c>
      <c r="F4" s="5" t="inlineStr">
        <is>
          <t>제주동백꽃티</t>
        </is>
      </c>
      <c r="G4" s="5" t="n"/>
      <c r="H4" s="5" t="n"/>
      <c r="I4" s="5" t="n"/>
    </row>
    <row r="5">
      <c r="A5" s="5" t="inlineStr">
        <is>
          <t>삼다연제주영귤</t>
        </is>
      </c>
      <c r="B5" s="5" t="n">
        <v>346</v>
      </c>
      <c r="C5" s="5" t="n">
        <v>261</v>
      </c>
      <c r="D5" s="5" t="n">
        <v>217</v>
      </c>
      <c r="F5" s="5" t="inlineStr">
        <is>
          <t>삼다연제주영귤</t>
        </is>
      </c>
      <c r="G5" s="5" t="n"/>
      <c r="H5" s="5" t="n"/>
      <c r="I5" s="5" t="n"/>
    </row>
    <row r="6">
      <c r="A6" s="5" t="inlineStr">
        <is>
          <t>달빛걷기</t>
        </is>
      </c>
      <c r="B6" s="5" t="n">
        <v>234</v>
      </c>
      <c r="C6" s="5" t="n">
        <v>182</v>
      </c>
      <c r="D6" s="5" t="n">
        <v>371</v>
      </c>
      <c r="F6" s="5" t="inlineStr">
        <is>
          <t>달빛걷기</t>
        </is>
      </c>
      <c r="G6" s="5" t="n"/>
      <c r="H6" s="5" t="n"/>
      <c r="I6" s="5" t="n"/>
    </row>
    <row r="7">
      <c r="A7" s="5" t="inlineStr">
        <is>
          <t>동백이피는 곶자왈</t>
        </is>
      </c>
      <c r="B7" s="5" t="n">
        <v>218</v>
      </c>
      <c r="C7" s="5" t="n">
        <v>341</v>
      </c>
      <c r="D7" s="5" t="n">
        <v>179</v>
      </c>
      <c r="F7" s="5" t="inlineStr">
        <is>
          <t>동백이피는 곶자왈</t>
        </is>
      </c>
      <c r="G7" s="5" t="n"/>
      <c r="H7" s="5" t="n"/>
      <c r="I7" s="5" t="n"/>
    </row>
    <row r="9">
      <c r="A9" s="0" t="inlineStr">
        <is>
          <t>[표2] 서귀포점</t>
        </is>
      </c>
    </row>
    <row r="10">
      <c r="A10" s="25" t="inlineStr">
        <is>
          <t>구분</t>
        </is>
      </c>
      <c r="B10" s="25" t="inlineStr">
        <is>
          <t>1월</t>
        </is>
      </c>
      <c r="C10" s="25" t="inlineStr">
        <is>
          <t>2월</t>
        </is>
      </c>
      <c r="D10" s="25" t="inlineStr">
        <is>
          <t>3월</t>
        </is>
      </c>
    </row>
    <row r="11">
      <c r="A11" s="5" t="inlineStr">
        <is>
          <t>웨딩그린티</t>
        </is>
      </c>
      <c r="B11" s="5" t="n">
        <v>273</v>
      </c>
      <c r="C11" s="5" t="n">
        <v>241</v>
      </c>
      <c r="D11" s="5" t="n">
        <v>120</v>
      </c>
    </row>
    <row r="12">
      <c r="A12" s="5" t="inlineStr">
        <is>
          <t>달빛걷기</t>
        </is>
      </c>
      <c r="B12" s="5" t="n">
        <v>241</v>
      </c>
      <c r="C12" s="5" t="n">
        <v>236</v>
      </c>
      <c r="D12" s="5" t="n">
        <v>242</v>
      </c>
    </row>
    <row r="13">
      <c r="A13" s="5" t="inlineStr">
        <is>
          <t>삼다연제주영귤</t>
        </is>
      </c>
      <c r="B13" s="5" t="n">
        <v>125</v>
      </c>
      <c r="C13" s="5" t="n">
        <v>261</v>
      </c>
      <c r="D13" s="5" t="n">
        <v>211</v>
      </c>
    </row>
    <row r="14">
      <c r="A14" s="5" t="inlineStr">
        <is>
          <t>제주동백꽃티</t>
        </is>
      </c>
      <c r="B14" s="5" t="n">
        <v>235</v>
      </c>
      <c r="C14" s="5" t="n">
        <v>215</v>
      </c>
      <c r="D14" s="5" t="n">
        <v>321</v>
      </c>
    </row>
    <row r="15">
      <c r="A15" s="5" t="inlineStr">
        <is>
          <t>동백이피는 곶자왈</t>
        </is>
      </c>
      <c r="B15" s="5" t="n">
        <v>231</v>
      </c>
      <c r="C15" s="5" t="n">
        <v>341</v>
      </c>
      <c r="D15" s="5" t="n">
        <v>122</v>
      </c>
    </row>
    <row r="17">
      <c r="A17" s="0" t="inlineStr">
        <is>
          <t>[표3] 제주공항점</t>
        </is>
      </c>
    </row>
    <row r="18">
      <c r="A18" s="25" t="inlineStr">
        <is>
          <t>구분</t>
        </is>
      </c>
      <c r="B18" s="25" t="inlineStr">
        <is>
          <t>1월</t>
        </is>
      </c>
      <c r="C18" s="25" t="inlineStr">
        <is>
          <t>2월</t>
        </is>
      </c>
      <c r="D18" s="25" t="inlineStr">
        <is>
          <t>3월</t>
        </is>
      </c>
    </row>
    <row r="19">
      <c r="A19" s="5" t="inlineStr">
        <is>
          <t>삼다연제주영귤</t>
        </is>
      </c>
      <c r="B19" s="5" t="n">
        <v>212</v>
      </c>
      <c r="C19" s="5" t="n">
        <v>241</v>
      </c>
      <c r="D19" s="5" t="n">
        <v>120</v>
      </c>
    </row>
    <row r="20">
      <c r="A20" s="5" t="inlineStr">
        <is>
          <t>달빛걷기</t>
        </is>
      </c>
      <c r="B20" s="5" t="n">
        <v>331</v>
      </c>
      <c r="C20" s="5" t="n">
        <v>331</v>
      </c>
      <c r="D20" s="5" t="n">
        <v>242</v>
      </c>
    </row>
    <row r="21">
      <c r="A21" s="5" t="inlineStr">
        <is>
          <t>동백이피는 곶자왈</t>
        </is>
      </c>
      <c r="B21" s="5" t="n">
        <v>231</v>
      </c>
      <c r="C21" s="5" t="n">
        <v>228</v>
      </c>
      <c r="D21" s="5" t="n">
        <v>122</v>
      </c>
    </row>
    <row r="22">
      <c r="A22" s="5" t="inlineStr">
        <is>
          <t>제주동백꽃티</t>
        </is>
      </c>
      <c r="B22" s="5" t="n">
        <v>341</v>
      </c>
      <c r="C22" s="5" t="n">
        <v>261</v>
      </c>
      <c r="D22" s="5" t="n">
        <v>112</v>
      </c>
    </row>
    <row r="23">
      <c r="A23" s="5" t="inlineStr">
        <is>
          <t>웨딩그린티</t>
        </is>
      </c>
      <c r="B23" s="5" t="n">
        <v>235</v>
      </c>
      <c r="C23" s="5" t="n">
        <v>344</v>
      </c>
      <c r="D23" s="5" t="n">
        <v>321</v>
      </c>
    </row>
  </sheetData>
  <mergeCells count="1">
    <mergeCell ref="F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3">
    <outlinePr summaryBelow="1" summaryRight="1"/>
    <pageSetUpPr/>
  </sheetPr>
  <dimension ref="A1:D10"/>
  <sheetViews>
    <sheetView zoomScale="235" zoomScaleNormal="235" workbookViewId="0">
      <selection activeCell="C3" sqref="C3"/>
    </sheetView>
  </sheetViews>
  <sheetFormatPr baseColWidth="8" defaultRowHeight="17.4"/>
  <cols>
    <col width="10.69921875" bestFit="1" customWidth="1" style="27" min="1" max="1"/>
    <col width="8.8984375" bestFit="1" customWidth="1" style="27" min="2" max="3"/>
    <col width="9.19921875" bestFit="1" customWidth="1" style="27" min="4" max="4"/>
  </cols>
  <sheetData>
    <row r="1">
      <c r="A1" s="24" t="inlineStr">
        <is>
          <t>소모품 구입 현황</t>
        </is>
      </c>
    </row>
    <row r="3">
      <c r="A3" s="15" t="inlineStr">
        <is>
          <t>품명</t>
        </is>
      </c>
      <c r="B3" s="15" t="inlineStr">
        <is>
          <t>수량</t>
        </is>
      </c>
      <c r="C3" s="15" t="inlineStr">
        <is>
          <t>단가</t>
        </is>
      </c>
      <c r="D3" s="15" t="inlineStr">
        <is>
          <t>판매가격</t>
        </is>
      </c>
    </row>
    <row r="4">
      <c r="A4" s="5" t="inlineStr">
        <is>
          <t>포스트잇</t>
        </is>
      </c>
      <c r="B4" s="28" t="n">
        <v>16</v>
      </c>
      <c r="C4" s="28" t="n">
        <v>1800</v>
      </c>
      <c r="D4" s="28" t="n">
        <v>28800</v>
      </c>
    </row>
    <row r="5">
      <c r="A5" s="5" t="inlineStr">
        <is>
          <t>볼펜(검정)</t>
        </is>
      </c>
      <c r="B5" s="28" t="n">
        <v>30</v>
      </c>
      <c r="C5" s="28" t="n">
        <v>2000</v>
      </c>
      <c r="D5" s="28" t="n">
        <v>60000</v>
      </c>
    </row>
    <row r="6">
      <c r="A6" s="5" t="inlineStr">
        <is>
          <t>투명테이프</t>
        </is>
      </c>
      <c r="B6" s="28" t="n">
        <v>5</v>
      </c>
      <c r="C6" s="28" t="n">
        <v>1200</v>
      </c>
      <c r="D6" s="28" t="n">
        <v>6000</v>
      </c>
    </row>
    <row r="7">
      <c r="A7" s="5" t="inlineStr">
        <is>
          <t>형광펜</t>
        </is>
      </c>
      <c r="B7" s="28" t="n">
        <v>20</v>
      </c>
      <c r="C7" s="28" t="n">
        <v>600</v>
      </c>
      <c r="D7" s="28" t="n">
        <v>12000</v>
      </c>
    </row>
    <row r="8">
      <c r="A8" s="5" t="inlineStr">
        <is>
          <t>3색볼펜</t>
        </is>
      </c>
      <c r="B8" s="28" t="n">
        <v>25</v>
      </c>
      <c r="C8" s="28" t="n">
        <v>4500</v>
      </c>
      <c r="D8" s="28" t="n">
        <v>112500</v>
      </c>
    </row>
    <row r="9">
      <c r="A9" s="5" t="inlineStr">
        <is>
          <t>가위</t>
        </is>
      </c>
      <c r="B9" s="28" t="n">
        <v>20</v>
      </c>
      <c r="C9" s="28" t="n">
        <v>3700</v>
      </c>
      <c r="D9" s="28" t="n">
        <v>74000</v>
      </c>
    </row>
    <row r="10">
      <c r="A10" s="26" t="inlineStr">
        <is>
          <t>총금액</t>
        </is>
      </c>
      <c r="B10" s="32" t="n"/>
      <c r="C10" s="33" t="n"/>
      <c r="D10" s="34" t="n"/>
    </row>
  </sheetData>
  <mergeCells count="2">
    <mergeCell ref="A10:C10"/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15">
    <outlinePr summaryBelow="1" summaryRight="1"/>
    <pageSetUpPr/>
  </sheetPr>
  <dimension ref="A1:F8"/>
  <sheetViews>
    <sheetView zoomScale="160" zoomScaleNormal="160" workbookViewId="0">
      <selection activeCell="H6" sqref="H6"/>
    </sheetView>
  </sheetViews>
  <sheetFormatPr baseColWidth="8" defaultRowHeight="17.4"/>
  <cols>
    <col width="10.59765625" customWidth="1" style="27" min="1" max="1"/>
  </cols>
  <sheetData>
    <row r="1">
      <c r="A1" s="24" t="inlineStr">
        <is>
          <t>학원 수강생 모집 현황</t>
        </is>
      </c>
    </row>
    <row r="2">
      <c r="F2" s="0" t="inlineStr">
        <is>
          <t>(단위:명)</t>
        </is>
      </c>
    </row>
    <row r="3">
      <c r="A3" s="16" t="inlineStr">
        <is>
          <t>과정</t>
        </is>
      </c>
      <c r="B3" s="16" t="inlineStr">
        <is>
          <t>1월</t>
        </is>
      </c>
      <c r="C3" s="16" t="inlineStr">
        <is>
          <t>2월</t>
        </is>
      </c>
      <c r="D3" s="16" t="inlineStr">
        <is>
          <t>3월</t>
        </is>
      </c>
      <c r="E3" s="16" t="inlineStr">
        <is>
          <t>4월</t>
        </is>
      </c>
      <c r="F3" s="16" t="inlineStr">
        <is>
          <t>5월</t>
        </is>
      </c>
    </row>
    <row r="4">
      <c r="A4" s="5" t="inlineStr">
        <is>
          <t>베이직문법</t>
        </is>
      </c>
      <c r="B4" s="5" t="n">
        <v>64</v>
      </c>
      <c r="C4" s="5" t="n">
        <v>58</v>
      </c>
      <c r="D4" s="5" t="n">
        <v>76</v>
      </c>
      <c r="E4" s="5" t="n">
        <v>61</v>
      </c>
      <c r="F4" s="5" t="n">
        <v>59</v>
      </c>
    </row>
    <row r="5">
      <c r="A5" s="5" t="inlineStr">
        <is>
          <t>TOEIC 기초</t>
        </is>
      </c>
      <c r="B5" s="5" t="n">
        <v>56</v>
      </c>
      <c r="C5" s="5" t="n">
        <v>76</v>
      </c>
      <c r="D5" s="5" t="n">
        <v>74</v>
      </c>
      <c r="E5" s="5" t="n">
        <v>81</v>
      </c>
      <c r="F5" s="5" t="n">
        <v>65</v>
      </c>
    </row>
    <row r="6">
      <c r="A6" s="5" t="inlineStr">
        <is>
          <t>TOEIC 중급</t>
        </is>
      </c>
      <c r="B6" s="5" t="n">
        <v>66</v>
      </c>
      <c r="C6" s="5" t="n">
        <v>69</v>
      </c>
      <c r="D6" s="5" t="n">
        <v>48</v>
      </c>
      <c r="E6" s="5" t="n">
        <v>68</v>
      </c>
      <c r="F6" s="5" t="n">
        <v>59</v>
      </c>
    </row>
    <row r="7">
      <c r="A7" s="5" t="inlineStr">
        <is>
          <t>TOEIC 고급</t>
        </is>
      </c>
      <c r="B7" s="5" t="n">
        <v>97</v>
      </c>
      <c r="C7" s="5" t="n">
        <v>90</v>
      </c>
      <c r="D7" s="5" t="n">
        <v>86</v>
      </c>
      <c r="E7" s="5" t="n">
        <v>78</v>
      </c>
      <c r="F7" s="5" t="n">
        <v>97</v>
      </c>
    </row>
    <row r="8">
      <c r="A8" s="5" t="inlineStr">
        <is>
          <t>토익스피킹</t>
        </is>
      </c>
      <c r="B8" s="5" t="n">
        <v>81</v>
      </c>
      <c r="C8" s="5" t="n">
        <v>93</v>
      </c>
      <c r="D8" s="5" t="n">
        <v>94</v>
      </c>
      <c r="E8" s="5" t="n">
        <v>90</v>
      </c>
      <c r="F8" s="5" t="n">
        <v>98</v>
      </c>
    </row>
  </sheetData>
  <mergeCells count="1">
    <mergeCell ref="A1:F1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SAMSUNG</dc:creator>
  <dcterms:created xmlns:dcterms="http://purl.org/dc/terms/" xmlns:xsi="http://www.w3.org/2001/XMLSchema-instance" xsi:type="dcterms:W3CDTF">2021-03-13T14:21:08Z</dcterms:created>
  <dcterms:modified xmlns:dcterms="http://purl.org/dc/terms/" xmlns:xsi="http://www.w3.org/2001/XMLSchema-instance" xsi:type="dcterms:W3CDTF">2026-06-06T06:34:18Z</dcterms:modified>
  <cp:lastModifiedBy>Administrator</cp:lastModifiedBy>
</cp:coreProperties>
</file>