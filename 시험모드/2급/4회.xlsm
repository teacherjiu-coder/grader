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20430" yWindow="2970" windowWidth="28065" windowHeight="17085" tabRatio="930" firstSheet="1" activeTab="3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81029" fullCalcOnLoad="1"/>
</workbook>
</file>

<file path=xl/styles.xml><?xml version="1.0" encoding="utf-8"?>
<styleSheet xmlns="http://schemas.openxmlformats.org/spreadsheetml/2006/main">
  <numFmts count="2">
    <numFmt numFmtId="164" formatCode="_-* #,##0_-;\-* #,##0_-;_-* &quot;-&quot;_-;_-@_-"/>
    <numFmt numFmtId="165" formatCode="&quot;₩&quot;#,##0"/>
  </numFmts>
  <fonts count="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3"/>
      <color rgb="FF0070C0"/>
      <sz val="20"/>
      <scheme val="minor"/>
    </font>
    <font>
      <name val="맑은 고딕"/>
      <charset val="129"/>
      <family val="3"/>
      <b val="1"/>
      <color theme="1"/>
      <sz val="11"/>
      <u val="single"/>
      <scheme val="minor"/>
    </font>
    <font>
      <name val="맑은 고딕"/>
      <charset val="129"/>
      <family val="2"/>
      <color rgb="FF00B050"/>
      <sz val="11"/>
      <scheme val="minor"/>
    </font>
    <font>
      <name val="맑은 고딕"/>
      <charset val="129"/>
      <family val="3"/>
      <color rgb="FF00B050"/>
      <sz val="11"/>
      <scheme val="minor"/>
    </font>
    <font>
      <name val="맑은 고딕"/>
      <charset val="129"/>
      <family val="3"/>
      <color rgb="FF000000"/>
      <sz val="11"/>
    </font>
  </fonts>
  <fills count="3">
    <fill>
      <patternFill/>
    </fill>
    <fill>
      <patternFill patternType="gray125"/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2" fillId="0" borderId="0" applyAlignment="1">
      <alignment vertical="center"/>
    </xf>
    <xf numFmtId="164" fontId="2" fillId="0" borderId="0" applyAlignment="1">
      <alignment vertical="center"/>
    </xf>
  </cellStyleXfs>
  <cellXfs count="34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1">
      <alignment vertical="center"/>
    </xf>
    <xf numFmtId="164" fontId="0" fillId="0" borderId="1" applyAlignment="1" pivotButton="0" quotePrefix="0" xfId="1">
      <alignment vertical="center"/>
    </xf>
    <xf numFmtId="0" fontId="0" fillId="0" borderId="0" applyAlignment="1" pivotButton="0" quotePrefix="0" xfId="0">
      <alignment horizontal="left" vertical="center"/>
    </xf>
    <xf numFmtId="164" fontId="0" fillId="0" borderId="1" applyAlignment="1" pivotButton="0" quotePrefix="0" xfId="1">
      <alignment horizontal="center" vertical="center"/>
    </xf>
    <xf numFmtId="14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0" applyAlignment="1" pivotButton="0" quotePrefix="0" xfId="1">
      <alignment vertical="center"/>
    </xf>
    <xf numFmtId="0" fontId="3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6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5" fontId="0" fillId="0" borderId="1" applyAlignment="1" pivotButton="0" quotePrefix="0" xfId="0">
      <alignment vertical="center"/>
    </xf>
    <xf numFmtId="0" fontId="0" fillId="2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164" fontId="0" fillId="2" borderId="0" applyAlignment="1" pivotButton="0" quotePrefix="0" xfId="1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0" pivotButton="0" quotePrefix="0" xfId="0"/>
    <xf numFmtId="0" fontId="0" fillId="0" borderId="7" pivotButton="0" quotePrefix="0" xfId="0"/>
    <xf numFmtId="164" fontId="0" fillId="0" borderId="1" applyAlignment="1" pivotButton="0" quotePrefix="0" xfId="1">
      <alignment vertical="center"/>
    </xf>
    <xf numFmtId="164" fontId="0" fillId="0" borderId="1" applyAlignment="1" pivotButton="0" quotePrefix="0" xfId="1">
      <alignment horizontal="center" vertical="center"/>
    </xf>
    <xf numFmtId="0" fontId="0" fillId="0" borderId="8" pivotButton="0" quotePrefix="0" xfId="0"/>
    <xf numFmtId="164" fontId="0" fillId="0" borderId="0" applyAlignment="1" pivotButton="0" quotePrefix="0" xfId="1">
      <alignment vertical="center"/>
    </xf>
    <xf numFmtId="164" fontId="0" fillId="2" borderId="0" applyAlignment="1" pivotButton="0" quotePrefix="0" xfId="1">
      <alignment horizontal="center" vertical="center"/>
    </xf>
  </cellXfs>
  <cellStyles count="2">
    <cellStyle name="표준" xfId="0" builtinId="0"/>
    <cellStyle name="쉼표 [0]" xfId="1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차트작업!$C$3</f>
              <strCache>
                <ptCount val="1"/>
                <pt idx="0">
                  <v>수입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DS012</v>
                </pt>
                <pt idx="1">
                  <v>AS129</v>
                </pt>
                <pt idx="2">
                  <v>KD411</v>
                </pt>
                <pt idx="3">
                  <v>QW371</v>
                </pt>
                <pt idx="4">
                  <v>ED185</v>
                </pt>
              </strCache>
            </strRef>
          </cat>
          <val>
            <numRef>
              <f>차트작업!$C$4:$C$8</f>
              <numCache>
                <formatCode>General</formatCode>
                <ptCount val="5"/>
                <pt idx="0">
                  <v>200</v>
                </pt>
                <pt idx="1">
                  <v>230</v>
                </pt>
                <pt idx="2">
                  <v>400</v>
                </pt>
                <pt idx="3">
                  <v>430</v>
                </pt>
                <pt idx="4">
                  <v>390</v>
                </pt>
              </numCache>
            </numRef>
          </val>
        </ser>
        <ser>
          <idx val="1"/>
          <order val="1"/>
          <tx>
            <strRef>
              <f>차트작업!$D$3</f>
              <strCache>
                <ptCount val="1"/>
                <pt idx="0">
                  <v>수출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DS012</v>
                </pt>
                <pt idx="1">
                  <v>AS129</v>
                </pt>
                <pt idx="2">
                  <v>KD411</v>
                </pt>
                <pt idx="3">
                  <v>QW371</v>
                </pt>
                <pt idx="4">
                  <v>ED185</v>
                </pt>
              </strCache>
            </strRef>
          </cat>
          <val>
            <numRef>
              <f>차트작업!$D$4:$D$8</f>
              <numCache>
                <formatCode>General</formatCode>
                <ptCount val="5"/>
                <pt idx="0">
                  <v>150</v>
                </pt>
                <pt idx="1">
                  <v>210</v>
                </pt>
                <pt idx="2">
                  <v>390</v>
                </pt>
                <pt idx="3">
                  <v>257</v>
                </pt>
                <pt idx="4">
                  <v>280</v>
                </pt>
              </numCache>
            </numRef>
          </val>
        </ser>
        <ser>
          <idx val="2"/>
          <order val="2"/>
          <tx>
            <strRef>
              <f>차트작업!$E$3</f>
              <strCache>
                <ptCount val="1"/>
                <pt idx="0">
                  <v>잔여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DS012</v>
                </pt>
                <pt idx="1">
                  <v>AS129</v>
                </pt>
                <pt idx="2">
                  <v>KD411</v>
                </pt>
                <pt idx="3">
                  <v>QW371</v>
                </pt>
                <pt idx="4">
                  <v>ED185</v>
                </pt>
              </strCache>
            </strRef>
          </cat>
          <val>
            <numRef>
              <f>차트작업!$E$4:$E$8</f>
              <numCache>
                <formatCode>General</formatCode>
                <ptCount val="5"/>
                <pt idx="0">
                  <v>80</v>
                </pt>
                <pt idx="1">
                  <v>43</v>
                </pt>
                <pt idx="2">
                  <v>56</v>
                </pt>
                <pt idx="3">
                  <v>189</v>
                </pt>
                <pt idx="4">
                  <v>148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85491728"/>
        <axId val="1785482576"/>
      </barChart>
      <catAx>
        <axId val="178549172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85482576"/>
        <crosses val="autoZero"/>
        <auto val="1"/>
        <lblAlgn val="ctr"/>
        <lblOffset val="100"/>
        <noMultiLvlLbl val="0"/>
      </catAx>
      <valAx>
        <axId val="178548257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85491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5080</colOff>
      <row>10</row>
      <rowOff>218440</rowOff>
    </from>
    <to>
      <col>6</col>
      <colOff>553720</colOff>
      <row>23</row>
      <rowOff>55880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Relationships xmlns="http://schemas.openxmlformats.org/package/2006/relationships"><Relationship Type="http://schemas.openxmlformats.org/officeDocument/2006/relationships/hyperlink" Target="mailto:qwe12@naver.com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="280" zoomScaleNormal="280" workbookViewId="0">
      <selection activeCell="A3" sqref="A3"/>
    </sheetView>
  </sheetViews>
  <sheetFormatPr baseColWidth="8" defaultRowHeight="16.5"/>
  <sheetData>
    <row r="1">
      <c r="A1" s="10" t="inlineStr">
        <is>
          <t xml:space="preserve">대학교 수강신청 교과목 정보 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C11"/>
  <sheetViews>
    <sheetView zoomScale="265" zoomScaleNormal="265" workbookViewId="0">
      <selection activeCell="A3" sqref="A3:B3"/>
    </sheetView>
  </sheetViews>
  <sheetFormatPr baseColWidth="8" defaultRowHeight="16.5"/>
  <cols>
    <col width="10.875" customWidth="1" style="27" min="1" max="1"/>
    <col width="23.375" bestFit="1" customWidth="1" style="27" min="2" max="2"/>
  </cols>
  <sheetData>
    <row r="1">
      <c r="A1" s="10" t="inlineStr">
        <is>
          <t>안전상비의약품</t>
        </is>
      </c>
    </row>
    <row r="3">
      <c r="A3" s="10" t="inlineStr">
        <is>
          <t>구분</t>
        </is>
      </c>
      <c r="B3" s="10" t="inlineStr">
        <is>
          <t>의약품</t>
        </is>
      </c>
      <c r="C3" s="10" t="inlineStr">
        <is>
          <t>가격</t>
        </is>
      </c>
    </row>
    <row r="4">
      <c r="A4" s="10" t="inlineStr">
        <is>
          <t>해열진통제</t>
        </is>
      </c>
      <c r="B4" s="10" t="inlineStr">
        <is>
          <t>타이레놀정500mg</t>
        </is>
      </c>
      <c r="C4" s="10" t="n">
        <v>3000</v>
      </c>
    </row>
    <row r="5">
      <c r="A5" s="10" t="inlineStr">
        <is>
          <t>해열진통제</t>
        </is>
      </c>
      <c r="B5" s="10" t="inlineStr">
        <is>
          <t>타이레놀정160mg</t>
        </is>
      </c>
      <c r="C5" s="10" t="n">
        <v>2500</v>
      </c>
    </row>
    <row r="6">
      <c r="A6" s="10" t="inlineStr">
        <is>
          <t>해열진통제</t>
        </is>
      </c>
      <c r="B6" s="10" t="inlineStr">
        <is>
          <t>어린이용타이레놀정80mg</t>
        </is>
      </c>
      <c r="C6" s="10" t="n">
        <v>2200</v>
      </c>
    </row>
    <row r="7">
      <c r="A7" s="10" t="inlineStr">
        <is>
          <t>해열진통제</t>
        </is>
      </c>
      <c r="B7" s="10" t="inlineStr">
        <is>
          <t>어린이부루펜시럽</t>
        </is>
      </c>
      <c r="C7" s="10" t="n">
        <v>7500</v>
      </c>
    </row>
    <row r="8">
      <c r="A8" s="10" t="inlineStr">
        <is>
          <t>감기약</t>
        </is>
      </c>
      <c r="B8" s="10" t="inlineStr">
        <is>
          <t>판콜에이내복액</t>
        </is>
      </c>
      <c r="C8" s="10" t="n">
        <v>2600</v>
      </c>
    </row>
    <row r="9">
      <c r="A9" s="10" t="inlineStr">
        <is>
          <t>감기약</t>
        </is>
      </c>
      <c r="B9" s="10" t="inlineStr">
        <is>
          <t>판피린티정</t>
        </is>
      </c>
      <c r="C9" s="10" t="n">
        <v>1800</v>
      </c>
    </row>
    <row r="10">
      <c r="A10" s="10" t="inlineStr">
        <is>
          <t>소화제</t>
        </is>
      </c>
      <c r="B10" s="10" t="inlineStr">
        <is>
          <t>베아제정</t>
        </is>
      </c>
      <c r="C10" s="10" t="n">
        <v>1500</v>
      </c>
    </row>
    <row r="11">
      <c r="A11" s="10" t="inlineStr">
        <is>
          <t>소화제</t>
        </is>
      </c>
      <c r="B11" s="10" t="inlineStr">
        <is>
          <t>훼스탈골드정</t>
        </is>
      </c>
      <c r="C11" s="10" t="n">
        <v>2300</v>
      </c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G13"/>
  <sheetViews>
    <sheetView zoomScale="160" zoomScaleNormal="160" workbookViewId="0">
      <selection activeCell="C16" sqref="C16"/>
    </sheetView>
  </sheetViews>
  <sheetFormatPr baseColWidth="8" defaultRowHeight="16.5"/>
  <cols>
    <col width="14.375" bestFit="1" customWidth="1" style="27" min="1" max="1"/>
    <col width="14.375" bestFit="1" customWidth="1" style="10" min="2" max="2"/>
    <col width="15" customWidth="1" style="27" min="5" max="5"/>
    <col width="15.625" customWidth="1" style="27" min="7" max="7"/>
  </cols>
  <sheetData>
    <row r="1">
      <c r="A1" s="23" t="inlineStr">
        <is>
          <t>임직원 현황</t>
        </is>
      </c>
    </row>
    <row r="3">
      <c r="A3" s="24" t="inlineStr">
        <is>
          <t>소속실</t>
        </is>
      </c>
      <c r="B3" s="24" t="inlineStr">
        <is>
          <t>소속과</t>
        </is>
      </c>
      <c r="C3" s="24" t="inlineStr">
        <is>
          <t>직급</t>
        </is>
      </c>
      <c r="D3" s="24" t="inlineStr">
        <is>
          <t>이름</t>
        </is>
      </c>
      <c r="E3" s="24" t="inlineStr">
        <is>
          <t>성별</t>
        </is>
      </c>
      <c r="F3" s="24" t="inlineStr">
        <is>
          <t>사내번호</t>
        </is>
      </c>
      <c r="G3" s="24" t="inlineStr">
        <is>
          <t>연락처</t>
        </is>
      </c>
    </row>
    <row r="4">
      <c r="A4" s="24" t="inlineStr">
        <is>
          <t>보건의료정책실</t>
        </is>
      </c>
      <c r="B4" s="24" t="inlineStr">
        <is>
          <t>보건의료정책과</t>
        </is>
      </c>
      <c r="C4" s="24" t="inlineStr">
        <is>
          <t>사무관</t>
        </is>
      </c>
      <c r="D4" s="24" t="inlineStr">
        <is>
          <t>김지영</t>
        </is>
      </c>
      <c r="E4" s="24" t="inlineStr">
        <is>
          <t>여</t>
        </is>
      </c>
      <c r="F4" s="24" t="n">
        <v>2211</v>
      </c>
      <c r="G4" s="24" t="inlineStr">
        <is>
          <t>010-1215-1245</t>
        </is>
      </c>
    </row>
    <row r="5">
      <c r="A5" s="24" t="inlineStr">
        <is>
          <t>보건의료정책실</t>
        </is>
      </c>
      <c r="B5" s="24" t="inlineStr">
        <is>
          <t>의료자원정책과</t>
        </is>
      </c>
      <c r="C5" s="24" t="inlineStr">
        <is>
          <t>주무관</t>
        </is>
      </c>
      <c r="D5" s="24" t="inlineStr">
        <is>
          <t>김수영</t>
        </is>
      </c>
      <c r="E5" s="24" t="inlineStr">
        <is>
          <t>남</t>
        </is>
      </c>
      <c r="F5" s="24" t="n">
        <v>2213</v>
      </c>
      <c r="G5" s="24" t="inlineStr">
        <is>
          <t>010-2131-1222</t>
        </is>
      </c>
    </row>
    <row r="6">
      <c r="A6" s="24" t="inlineStr">
        <is>
          <t>건강보험정책국</t>
        </is>
      </c>
      <c r="B6" s="24" t="inlineStr">
        <is>
          <t>보험약제과</t>
        </is>
      </c>
      <c r="C6" s="24" t="inlineStr">
        <is>
          <t>주무관</t>
        </is>
      </c>
      <c r="D6" s="24" t="inlineStr">
        <is>
          <t>김현지</t>
        </is>
      </c>
      <c r="E6" s="24" t="inlineStr">
        <is>
          <t>여</t>
        </is>
      </c>
      <c r="F6" s="24" t="n">
        <v>2241</v>
      </c>
      <c r="G6" s="24" t="inlineStr">
        <is>
          <t>010-1266-1998</t>
        </is>
      </c>
    </row>
    <row r="7">
      <c r="A7" s="24" t="inlineStr">
        <is>
          <t>보건의료정책실</t>
        </is>
      </c>
      <c r="B7" s="24" t="inlineStr">
        <is>
          <t>약무정책과</t>
        </is>
      </c>
      <c r="C7" s="24" t="inlineStr">
        <is>
          <t>사무관</t>
        </is>
      </c>
      <c r="D7" s="24" t="inlineStr">
        <is>
          <t>우지혁</t>
        </is>
      </c>
      <c r="E7" s="24" t="inlineStr">
        <is>
          <t>남</t>
        </is>
      </c>
      <c r="F7" s="24" t="n">
        <v>3311</v>
      </c>
      <c r="G7" s="24" t="inlineStr">
        <is>
          <t>010-2686-1734</t>
        </is>
      </c>
    </row>
    <row r="8">
      <c r="A8" s="24" t="inlineStr">
        <is>
          <t>건강보험정책국</t>
        </is>
      </c>
      <c r="B8" s="24" t="inlineStr">
        <is>
          <t>보험약제과</t>
        </is>
      </c>
      <c r="C8" s="24" t="inlineStr">
        <is>
          <t>주무관</t>
        </is>
      </c>
      <c r="D8" s="24" t="inlineStr">
        <is>
          <t>최창훈</t>
        </is>
      </c>
      <c r="E8" s="24" t="inlineStr">
        <is>
          <t>남</t>
        </is>
      </c>
      <c r="F8" s="24" t="n">
        <v>3312</v>
      </c>
      <c r="G8" s="24" t="inlineStr">
        <is>
          <t>010-2837-2746</t>
        </is>
      </c>
    </row>
    <row r="9">
      <c r="A9" s="24" t="inlineStr">
        <is>
          <t>보건산업정책국</t>
        </is>
      </c>
      <c r="B9" s="24" t="inlineStr">
        <is>
          <t>보건산업정책과</t>
        </is>
      </c>
      <c r="C9" s="24" t="inlineStr">
        <is>
          <t>과장</t>
        </is>
      </c>
      <c r="D9" s="24" t="inlineStr">
        <is>
          <t>최현규</t>
        </is>
      </c>
      <c r="E9" s="24" t="inlineStr">
        <is>
          <t>남</t>
        </is>
      </c>
      <c r="F9" s="24" t="n">
        <v>3316</v>
      </c>
      <c r="G9" s="24" t="inlineStr">
        <is>
          <t>010-4746-1972</t>
        </is>
      </c>
    </row>
    <row r="10">
      <c r="A10" s="24" t="inlineStr">
        <is>
          <t>건강보험정책국</t>
        </is>
      </c>
      <c r="B10" s="24" t="inlineStr">
        <is>
          <t>보험급여과</t>
        </is>
      </c>
      <c r="C10" s="24" t="inlineStr">
        <is>
          <t>주무관</t>
        </is>
      </c>
      <c r="D10" s="24" t="inlineStr">
        <is>
          <t>박현지</t>
        </is>
      </c>
      <c r="E10" s="24" t="inlineStr">
        <is>
          <t>여</t>
        </is>
      </c>
      <c r="F10" s="24" t="n">
        <v>3315</v>
      </c>
      <c r="G10" s="24" t="inlineStr">
        <is>
          <t>010-3736-2836</t>
        </is>
      </c>
    </row>
    <row r="11">
      <c r="A11" s="24" t="inlineStr">
        <is>
          <t>건강정책국</t>
        </is>
      </c>
      <c r="B11" s="24" t="inlineStr">
        <is>
          <t>건강증진과</t>
        </is>
      </c>
      <c r="C11" s="24" t="inlineStr">
        <is>
          <t>사무관</t>
        </is>
      </c>
      <c r="D11" s="24" t="inlineStr">
        <is>
          <t>박현규</t>
        </is>
      </c>
      <c r="E11" s="24" t="inlineStr">
        <is>
          <t>남</t>
        </is>
      </c>
      <c r="F11" s="24" t="n">
        <v>3317</v>
      </c>
      <c r="G11" s="24" t="inlineStr">
        <is>
          <t>010-3746-4664</t>
        </is>
      </c>
    </row>
    <row r="12">
      <c r="A12" s="24" t="inlineStr">
        <is>
          <t>건강정책국</t>
        </is>
      </c>
      <c r="B12" s="24" t="inlineStr">
        <is>
          <t>건강정책과</t>
        </is>
      </c>
      <c r="C12" s="24" t="inlineStr">
        <is>
          <t>주무관</t>
        </is>
      </c>
      <c r="D12" s="24" t="inlineStr">
        <is>
          <t>한주희</t>
        </is>
      </c>
      <c r="E12" s="24" t="inlineStr">
        <is>
          <t>여</t>
        </is>
      </c>
      <c r="F12" s="24" t="n">
        <v>2217</v>
      </c>
      <c r="G12" s="24" t="inlineStr">
        <is>
          <t>010-7462-1736</t>
        </is>
      </c>
    </row>
    <row r="13">
      <c r="A13" s="24" t="inlineStr">
        <is>
          <t>건강정책국</t>
        </is>
      </c>
      <c r="B13" s="24" t="inlineStr">
        <is>
          <t>건강증진과</t>
        </is>
      </c>
      <c r="C13" s="24" t="inlineStr">
        <is>
          <t>주무관</t>
        </is>
      </c>
      <c r="D13" s="24" t="inlineStr">
        <is>
          <t>임태환</t>
        </is>
      </c>
      <c r="E13" s="24" t="inlineStr">
        <is>
          <t>남</t>
        </is>
      </c>
      <c r="F13" s="24" t="n">
        <v>2218</v>
      </c>
      <c r="G13" s="24" t="inlineStr">
        <is>
          <t>010-3746-1816</t>
        </is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L34"/>
  <sheetViews>
    <sheetView topLeftCell="A10" zoomScale="145" zoomScaleNormal="145" workbookViewId="0">
      <selection activeCell="A34" sqref="A34"/>
    </sheetView>
  </sheetViews>
  <sheetFormatPr baseColWidth="8" defaultRowHeight="16.5"/>
  <cols>
    <col width="10.125" customWidth="1" style="27" min="1" max="1"/>
    <col width="12.125" customWidth="1" style="27" min="2" max="2"/>
    <col width="13.875" customWidth="1" style="27" min="3" max="3"/>
    <col width="10" customWidth="1" style="27" min="4" max="4"/>
    <col width="10.5" customWidth="1" style="27" min="10" max="10"/>
    <col width="11.875" customWidth="1" style="27" min="11" max="11"/>
  </cols>
  <sheetData>
    <row r="1">
      <c r="A1" s="10" t="inlineStr">
        <is>
          <t>[표1] 차량판매현황</t>
        </is>
      </c>
      <c r="H1" s="10" t="inlineStr">
        <is>
          <t xml:space="preserve">[표2] 인재개발팀 ID관리 </t>
        </is>
      </c>
    </row>
    <row r="2">
      <c r="A2" s="24" t="inlineStr">
        <is>
          <t>차량코드</t>
        </is>
      </c>
      <c r="B2" s="24" t="inlineStr">
        <is>
          <t>단가</t>
        </is>
      </c>
      <c r="C2" s="25" t="inlineStr">
        <is>
          <t>총판매금액</t>
        </is>
      </c>
      <c r="E2" s="3" t="inlineStr">
        <is>
          <t>차량코드</t>
        </is>
      </c>
      <c r="F2" s="3" t="inlineStr">
        <is>
          <t>판매수량</t>
        </is>
      </c>
      <c r="H2" s="24" t="inlineStr">
        <is>
          <t>이름</t>
        </is>
      </c>
      <c r="I2" s="24" t="inlineStr">
        <is>
          <t>직급</t>
        </is>
      </c>
      <c r="J2" s="24" t="inlineStr">
        <is>
          <t>메일주소</t>
        </is>
      </c>
      <c r="K2" s="28" t="n"/>
      <c r="L2" s="25" t="inlineStr">
        <is>
          <t>아이디</t>
        </is>
      </c>
    </row>
    <row r="3">
      <c r="A3" s="3" t="inlineStr">
        <is>
          <t>AV-1151</t>
        </is>
      </c>
      <c r="B3" s="29" t="n">
        <v>21000000</v>
      </c>
      <c r="C3" s="29" t="n"/>
      <c r="E3" s="24" t="inlineStr">
        <is>
          <t>AV</t>
        </is>
      </c>
      <c r="F3" s="24" t="n">
        <v>4</v>
      </c>
      <c r="H3" s="24" t="inlineStr">
        <is>
          <t>김은지</t>
        </is>
      </c>
      <c r="I3" s="24" t="inlineStr">
        <is>
          <t>부장</t>
        </is>
      </c>
      <c r="J3" s="26" t="inlineStr">
        <is>
          <t>Kimm2@naver.com</t>
        </is>
      </c>
      <c r="K3" s="28" t="n"/>
      <c r="L3" s="3" t="n"/>
    </row>
    <row r="4">
      <c r="A4" s="3" t="inlineStr">
        <is>
          <t>SA-2114</t>
        </is>
      </c>
      <c r="B4" s="29" t="n">
        <v>38000000</v>
      </c>
      <c r="C4" s="29" t="n"/>
      <c r="E4" s="24" t="inlineStr">
        <is>
          <t>SA</t>
        </is>
      </c>
      <c r="F4" s="24" t="n">
        <v>3</v>
      </c>
      <c r="H4" s="24" t="inlineStr">
        <is>
          <t>우현주</t>
        </is>
      </c>
      <c r="I4" s="24" t="inlineStr">
        <is>
          <t>과장</t>
        </is>
      </c>
      <c r="J4" s="26" t="inlineStr">
        <is>
          <t>uooohj@hanmail.net</t>
        </is>
      </c>
      <c r="K4" s="28" t="n"/>
      <c r="L4" s="3" t="n"/>
    </row>
    <row r="5">
      <c r="A5" s="3" t="inlineStr">
        <is>
          <t>CO-2129</t>
        </is>
      </c>
      <c r="B5" s="29" t="n">
        <v>31000000</v>
      </c>
      <c r="C5" s="29" t="n"/>
      <c r="E5" s="24" t="inlineStr">
        <is>
          <t>CO</t>
        </is>
      </c>
      <c r="F5" s="24" t="n">
        <v>8</v>
      </c>
      <c r="H5" s="24" t="inlineStr">
        <is>
          <t>하은정</t>
        </is>
      </c>
      <c r="I5" s="24" t="inlineStr">
        <is>
          <t>대리</t>
        </is>
      </c>
      <c r="J5" s="26" t="inlineStr">
        <is>
          <t>goodluck77@naver.com</t>
        </is>
      </c>
      <c r="K5" s="28" t="n"/>
      <c r="L5" s="3" t="n"/>
    </row>
    <row r="6">
      <c r="A6" s="3" t="inlineStr">
        <is>
          <t>MO-3190</t>
        </is>
      </c>
      <c r="B6" s="29" t="n">
        <v>18000000</v>
      </c>
      <c r="C6" s="29" t="n"/>
      <c r="E6" s="24" t="inlineStr">
        <is>
          <t>MO</t>
        </is>
      </c>
      <c r="F6" s="24" t="n">
        <v>6</v>
      </c>
      <c r="H6" s="24" t="inlineStr">
        <is>
          <t>최현수</t>
        </is>
      </c>
      <c r="I6" s="24" t="inlineStr">
        <is>
          <t>대리</t>
        </is>
      </c>
      <c r="J6" s="26" t="inlineStr">
        <is>
          <t>gustn88@gmail.com</t>
        </is>
      </c>
      <c r="K6" s="28" t="n"/>
      <c r="L6" s="3" t="n"/>
    </row>
    <row r="7">
      <c r="A7" s="3" t="inlineStr">
        <is>
          <t>SO-2198</t>
        </is>
      </c>
      <c r="B7" s="29" t="n">
        <v>28000000</v>
      </c>
      <c r="C7" s="29" t="n"/>
      <c r="E7" s="24" t="inlineStr">
        <is>
          <t>SO</t>
        </is>
      </c>
      <c r="F7" s="24" t="n">
        <v>3</v>
      </c>
      <c r="H7" s="24" t="inlineStr">
        <is>
          <t>최은혁</t>
        </is>
      </c>
      <c r="I7" s="24" t="inlineStr">
        <is>
          <t>주임</t>
        </is>
      </c>
      <c r="J7" s="26" t="inlineStr">
        <is>
          <t>qwe12@naver.com</t>
        </is>
      </c>
      <c r="K7" s="28" t="n"/>
      <c r="L7" s="3" t="n"/>
    </row>
    <row r="8">
      <c r="A8" s="3" t="inlineStr">
        <is>
          <t>GR-2176</t>
        </is>
      </c>
      <c r="B8" s="29" t="n">
        <v>42000000</v>
      </c>
      <c r="C8" s="29" t="n"/>
      <c r="E8" s="24" t="inlineStr">
        <is>
          <t>GR</t>
        </is>
      </c>
      <c r="F8" s="24" t="n">
        <v>5</v>
      </c>
      <c r="H8" s="24" t="inlineStr">
        <is>
          <t>함은주</t>
        </is>
      </c>
      <c r="I8" s="24" t="inlineStr">
        <is>
          <t>주임</t>
        </is>
      </c>
      <c r="J8" s="26" t="inlineStr">
        <is>
          <t>hamyj22@naver.com</t>
        </is>
      </c>
      <c r="K8" s="28" t="n"/>
      <c r="L8" s="3" t="n"/>
    </row>
    <row r="11">
      <c r="A11" s="10" t="inlineStr">
        <is>
          <t>[표3] 3학년 1반 성적표</t>
        </is>
      </c>
      <c r="H11" s="7" t="inlineStr">
        <is>
          <t>[표4] 7월 급여표</t>
        </is>
      </c>
    </row>
    <row r="12">
      <c r="A12" s="24" t="inlineStr">
        <is>
          <t>이름</t>
        </is>
      </c>
      <c r="B12" s="24" t="inlineStr">
        <is>
          <t>성별</t>
        </is>
      </c>
      <c r="C12" s="24" t="inlineStr">
        <is>
          <t>영어</t>
        </is>
      </c>
      <c r="D12" s="24" t="inlineStr">
        <is>
          <t>수학</t>
        </is>
      </c>
      <c r="H12" s="24" t="inlineStr">
        <is>
          <t xml:space="preserve">사원번호 </t>
        </is>
      </c>
      <c r="I12" s="24" t="inlineStr">
        <is>
          <t>이름</t>
        </is>
      </c>
      <c r="J12" s="24" t="inlineStr">
        <is>
          <t>소속팀</t>
        </is>
      </c>
      <c r="K12" s="30" t="inlineStr">
        <is>
          <t>월급</t>
        </is>
      </c>
    </row>
    <row r="13">
      <c r="A13" s="24" t="inlineStr">
        <is>
          <t>김지영</t>
        </is>
      </c>
      <c r="B13" s="24" t="inlineStr">
        <is>
          <t>여</t>
        </is>
      </c>
      <c r="C13" s="24" t="n">
        <v>80</v>
      </c>
      <c r="D13" s="24" t="n">
        <v>77</v>
      </c>
      <c r="H13" s="24" t="n">
        <v>29189</v>
      </c>
      <c r="I13" s="24" t="inlineStr">
        <is>
          <t>김은지</t>
        </is>
      </c>
      <c r="J13" s="24" t="inlineStr">
        <is>
          <t>인재개발팀</t>
        </is>
      </c>
      <c r="K13" s="29" t="n">
        <v>2770000</v>
      </c>
    </row>
    <row r="14">
      <c r="A14" s="24" t="inlineStr">
        <is>
          <t>우현주</t>
        </is>
      </c>
      <c r="B14" s="24" t="inlineStr">
        <is>
          <t>여</t>
        </is>
      </c>
      <c r="C14" s="24" t="n">
        <v>83</v>
      </c>
      <c r="D14" s="24" t="n">
        <v>98</v>
      </c>
      <c r="H14" s="24" t="n">
        <v>29190</v>
      </c>
      <c r="I14" s="24" t="inlineStr">
        <is>
          <t>김주은</t>
        </is>
      </c>
      <c r="J14" s="24" t="inlineStr">
        <is>
          <t>인재개발팀</t>
        </is>
      </c>
      <c r="K14" s="29" t="n">
        <v>3180000</v>
      </c>
    </row>
    <row r="15">
      <c r="A15" s="24" t="inlineStr">
        <is>
          <t>임지한</t>
        </is>
      </c>
      <c r="B15" s="24" t="inlineStr">
        <is>
          <t>남</t>
        </is>
      </c>
      <c r="C15" s="24" t="n">
        <v>69</v>
      </c>
      <c r="D15" s="24" t="n">
        <v>92</v>
      </c>
      <c r="H15" s="24" t="n">
        <v>29191</v>
      </c>
      <c r="I15" s="24" t="inlineStr">
        <is>
          <t>김우혁</t>
        </is>
      </c>
      <c r="J15" s="24" t="inlineStr">
        <is>
          <t>기획조정팀</t>
        </is>
      </c>
      <c r="K15" s="29" t="n">
        <v>2809000</v>
      </c>
    </row>
    <row r="16">
      <c r="A16" s="24" t="inlineStr">
        <is>
          <t>최윤수</t>
        </is>
      </c>
      <c r="B16" s="24" t="inlineStr">
        <is>
          <t>남</t>
        </is>
      </c>
      <c r="C16" s="24" t="n">
        <v>89</v>
      </c>
      <c r="D16" s="24" t="n">
        <v>97</v>
      </c>
      <c r="H16" s="24" t="n">
        <v>29192</v>
      </c>
      <c r="I16" s="24" t="inlineStr">
        <is>
          <t>이지훈</t>
        </is>
      </c>
      <c r="J16" s="24" t="inlineStr">
        <is>
          <t>회계지원팀</t>
        </is>
      </c>
      <c r="K16" s="29" t="n">
        <v>3270000</v>
      </c>
    </row>
    <row r="17">
      <c r="A17" s="24" t="inlineStr">
        <is>
          <t>한지민</t>
        </is>
      </c>
      <c r="B17" s="24" t="inlineStr">
        <is>
          <t>여</t>
        </is>
      </c>
      <c r="C17" s="24" t="n">
        <v>98</v>
      </c>
      <c r="D17" s="24" t="n">
        <v>97</v>
      </c>
      <c r="H17" s="24" t="n">
        <v>29193</v>
      </c>
      <c r="I17" s="24" t="inlineStr">
        <is>
          <t>이시훈</t>
        </is>
      </c>
      <c r="J17" s="24" t="inlineStr">
        <is>
          <t>기획조정팀</t>
        </is>
      </c>
      <c r="K17" s="29" t="n">
        <v>4290000</v>
      </c>
    </row>
    <row r="18">
      <c r="A18" s="24" t="inlineStr">
        <is>
          <t>지현우</t>
        </is>
      </c>
      <c r="B18" s="24" t="inlineStr">
        <is>
          <t>남</t>
        </is>
      </c>
      <c r="C18" s="24" t="n">
        <v>96</v>
      </c>
      <c r="D18" s="24" t="n">
        <v>90</v>
      </c>
      <c r="H18" s="24" t="n">
        <v>29194</v>
      </c>
      <c r="I18" s="24" t="inlineStr">
        <is>
          <t>임지현</t>
        </is>
      </c>
      <c r="J18" s="24" t="inlineStr">
        <is>
          <t>인재개발팀</t>
        </is>
      </c>
      <c r="K18" s="29" t="n">
        <v>2590000</v>
      </c>
    </row>
    <row r="19">
      <c r="A19" s="24" t="inlineStr">
        <is>
          <t>한태현</t>
        </is>
      </c>
      <c r="B19" s="24" t="inlineStr">
        <is>
          <t>남</t>
        </is>
      </c>
      <c r="C19" s="24" t="n">
        <v>99</v>
      </c>
      <c r="D19" s="24" t="n">
        <v>89</v>
      </c>
      <c r="H19" s="24" t="n">
        <v>29195</v>
      </c>
      <c r="I19" s="24" t="inlineStr">
        <is>
          <t>장현우</t>
        </is>
      </c>
      <c r="J19" s="24" t="inlineStr">
        <is>
          <t>회계지원팀</t>
        </is>
      </c>
      <c r="K19" s="29" t="n">
        <v>4800000</v>
      </c>
    </row>
    <row r="20">
      <c r="A20" s="24" t="inlineStr">
        <is>
          <t>이현우</t>
        </is>
      </c>
      <c r="B20" s="24" t="inlineStr">
        <is>
          <t>남</t>
        </is>
      </c>
      <c r="C20" s="24" t="n">
        <v>70</v>
      </c>
      <c r="D20" s="24" t="n">
        <v>98</v>
      </c>
      <c r="H20" s="24" t="n">
        <v>29196</v>
      </c>
      <c r="I20" s="24" t="inlineStr">
        <is>
          <t>최현식</t>
        </is>
      </c>
      <c r="J20" s="24" t="inlineStr">
        <is>
          <t>회계지원팀</t>
        </is>
      </c>
      <c r="K20" s="29" t="n">
        <v>3800000</v>
      </c>
    </row>
    <row r="21">
      <c r="A21" s="24" t="inlineStr">
        <is>
          <t>김지현</t>
        </is>
      </c>
      <c r="B21" s="24" t="inlineStr">
        <is>
          <t>여</t>
        </is>
      </c>
      <c r="C21" s="24" t="n">
        <v>92</v>
      </c>
      <c r="D21" s="24" t="n">
        <v>76</v>
      </c>
      <c r="H21" s="25" t="inlineStr">
        <is>
          <t>인재개발팀 평균월급</t>
        </is>
      </c>
      <c r="I21" s="31" t="n"/>
      <c r="J21" s="28" t="n"/>
      <c r="K21" s="29" t="n"/>
    </row>
    <row r="23">
      <c r="C23" s="25" t="inlineStr">
        <is>
          <t>남학생영어점수평균</t>
        </is>
      </c>
      <c r="D23" s="28" t="n"/>
    </row>
    <row r="24">
      <c r="C24" s="24" t="n"/>
      <c r="D24" s="28" t="n"/>
    </row>
    <row r="27">
      <c r="A27" s="10" t="inlineStr">
        <is>
          <t>[표5] 연극티켓 예약현황</t>
        </is>
      </c>
    </row>
    <row r="28">
      <c r="A28" s="24" t="inlineStr">
        <is>
          <t>주문코드</t>
        </is>
      </c>
      <c r="B28" s="24" t="inlineStr">
        <is>
          <t>가격</t>
        </is>
      </c>
      <c r="C28" s="24" t="inlineStr">
        <is>
          <t>건수</t>
        </is>
      </c>
      <c r="D28" s="25" t="inlineStr">
        <is>
          <t>구분</t>
        </is>
      </c>
    </row>
    <row r="29">
      <c r="A29" s="24" t="inlineStr">
        <is>
          <t>A-D-12</t>
        </is>
      </c>
      <c r="B29" s="30" t="n">
        <v>0</v>
      </c>
      <c r="C29" s="24" t="n">
        <v>60</v>
      </c>
      <c r="D29" s="24" t="n"/>
    </row>
    <row r="30">
      <c r="A30" s="24" t="inlineStr">
        <is>
          <t>B-S-12</t>
        </is>
      </c>
      <c r="B30" s="30" t="n">
        <v>10000</v>
      </c>
      <c r="C30" s="24" t="n">
        <v>83</v>
      </c>
      <c r="D30" s="24" t="n"/>
    </row>
    <row r="31">
      <c r="A31" s="24" t="inlineStr">
        <is>
          <t>B-S-19</t>
        </is>
      </c>
      <c r="B31" s="30" t="n">
        <v>22000</v>
      </c>
      <c r="C31" s="24" t="n">
        <v>12</v>
      </c>
      <c r="D31" s="24" t="n"/>
    </row>
    <row r="32">
      <c r="A32" s="24" t="inlineStr">
        <is>
          <t>C-D-48</t>
        </is>
      </c>
      <c r="B32" s="30" t="n">
        <v>30000</v>
      </c>
      <c r="C32" s="24" t="n">
        <v>108</v>
      </c>
      <c r="D32" s="24" t="n"/>
    </row>
    <row r="33">
      <c r="A33" s="24" t="inlineStr">
        <is>
          <t>E-D-48</t>
        </is>
      </c>
      <c r="B33" s="30" t="n">
        <v>30000</v>
      </c>
      <c r="C33" s="24" t="n">
        <v>89</v>
      </c>
      <c r="D33" s="24" t="n"/>
    </row>
    <row r="34">
      <c r="A34" s="24" t="inlineStr">
        <is>
          <t>A-A-29</t>
        </is>
      </c>
      <c r="B34" s="30" t="n">
        <v>0</v>
      </c>
      <c r="C34" s="24" t="n">
        <v>12</v>
      </c>
      <c r="D34" s="24" t="n"/>
    </row>
  </sheetData>
  <mergeCells count="10">
    <mergeCell ref="J3:K3"/>
    <mergeCell ref="J4:K4"/>
    <mergeCell ref="C24:D24"/>
    <mergeCell ref="J5:K5"/>
    <mergeCell ref="J6:K6"/>
    <mergeCell ref="J2:K2"/>
    <mergeCell ref="J7:K7"/>
    <mergeCell ref="H21:J21"/>
    <mergeCell ref="J8:K8"/>
    <mergeCell ref="C23:D23"/>
  </mergeCells>
  <hyperlinks>
    <hyperlink xmlns:r="http://schemas.openxmlformats.org/officeDocument/2006/relationships" ref="J7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A1:F23"/>
  <sheetViews>
    <sheetView zoomScale="145" zoomScaleNormal="145" workbookViewId="0">
      <selection activeCell="F7" sqref="F7"/>
    </sheetView>
  </sheetViews>
  <sheetFormatPr baseColWidth="8" defaultRowHeight="16.5"/>
  <cols>
    <col width="10.875" bestFit="1" customWidth="1" style="27" min="1" max="1"/>
    <col width="14.625" bestFit="1" customWidth="1" style="27" min="2" max="3"/>
    <col width="10.25" customWidth="1" style="27" min="4" max="4"/>
    <col width="14.25" customWidth="1" style="32" min="6" max="6"/>
  </cols>
  <sheetData>
    <row r="1">
      <c r="A1" s="23" t="inlineStr">
        <is>
          <t>[표1] 자동차 판매현황</t>
        </is>
      </c>
    </row>
    <row r="3">
      <c r="A3" s="19" t="inlineStr">
        <is>
          <t xml:space="preserve">일자 </t>
        </is>
      </c>
      <c r="B3" s="19" t="inlineStr">
        <is>
          <t>영업점</t>
        </is>
      </c>
      <c r="C3" s="19" t="inlineStr">
        <is>
          <t>판매차량</t>
        </is>
      </c>
      <c r="D3" s="19" t="inlineStr">
        <is>
          <t>담당자</t>
        </is>
      </c>
      <c r="E3" s="19" t="inlineStr">
        <is>
          <t>수량</t>
        </is>
      </c>
      <c r="F3" s="33" t="inlineStr">
        <is>
          <t>판매가격</t>
        </is>
      </c>
    </row>
    <row r="4">
      <c r="A4" s="9" t="n">
        <v>44207</v>
      </c>
      <c r="B4" s="10" t="inlineStr">
        <is>
          <t>신대방대리점</t>
        </is>
      </c>
      <c r="C4" s="10" t="inlineStr">
        <is>
          <t>아반떼</t>
        </is>
      </c>
      <c r="D4" s="10" t="inlineStr">
        <is>
          <t>이현우</t>
        </is>
      </c>
      <c r="E4" s="10" t="n">
        <v>3</v>
      </c>
      <c r="F4" s="32" t="n">
        <v>25000000</v>
      </c>
    </row>
    <row r="5">
      <c r="A5" s="9" t="n">
        <v>44207</v>
      </c>
      <c r="B5" s="10" t="inlineStr">
        <is>
          <t>상도대리점</t>
        </is>
      </c>
      <c r="C5" s="10" t="inlineStr">
        <is>
          <t>아반떼</t>
        </is>
      </c>
      <c r="D5" s="10" t="inlineStr">
        <is>
          <t>이지현</t>
        </is>
      </c>
      <c r="E5" s="10" t="n">
        <v>2</v>
      </c>
      <c r="F5" s="32" t="n">
        <v>23000000</v>
      </c>
    </row>
    <row r="6">
      <c r="A6" s="9" t="n">
        <v>44207</v>
      </c>
      <c r="B6" s="10" t="inlineStr">
        <is>
          <t>총신대역대리점</t>
        </is>
      </c>
      <c r="C6" s="10" t="inlineStr">
        <is>
          <t>투싼</t>
        </is>
      </c>
      <c r="D6" s="10" t="inlineStr">
        <is>
          <t>오상혁</t>
        </is>
      </c>
      <c r="E6" s="10" t="n">
        <v>1</v>
      </c>
      <c r="F6" s="32" t="n">
        <v>30000000</v>
      </c>
    </row>
    <row r="7">
      <c r="A7" s="9" t="n">
        <v>44207</v>
      </c>
      <c r="B7" s="10" t="inlineStr">
        <is>
          <t>잠원중앙대리점</t>
        </is>
      </c>
      <c r="C7" s="10" t="inlineStr">
        <is>
          <t>넥쏘</t>
        </is>
      </c>
      <c r="D7" s="10" t="inlineStr">
        <is>
          <t>김태현</t>
        </is>
      </c>
      <c r="E7" s="10" t="n">
        <v>2</v>
      </c>
      <c r="F7" s="32" t="n">
        <v>68000000</v>
      </c>
    </row>
    <row r="8">
      <c r="A8" s="9" t="n">
        <v>44207</v>
      </c>
      <c r="B8" s="10" t="inlineStr">
        <is>
          <t>서초남부지점</t>
        </is>
      </c>
      <c r="C8" s="10" t="inlineStr">
        <is>
          <t>포터2</t>
        </is>
      </c>
      <c r="D8" s="10" t="inlineStr">
        <is>
          <t>최현수</t>
        </is>
      </c>
      <c r="E8" s="10" t="n">
        <v>1</v>
      </c>
      <c r="F8" s="32" t="n">
        <v>19000000</v>
      </c>
    </row>
    <row r="9">
      <c r="A9" s="9" t="n">
        <v>44208</v>
      </c>
      <c r="B9" s="10" t="inlineStr">
        <is>
          <t>보라매지점</t>
        </is>
      </c>
      <c r="C9" s="10" t="inlineStr">
        <is>
          <t>코나</t>
        </is>
      </c>
      <c r="D9" s="10" t="inlineStr">
        <is>
          <t>김지혁</t>
        </is>
      </c>
      <c r="E9" s="10" t="n">
        <v>1</v>
      </c>
      <c r="F9" s="32" t="n">
        <v>28000000</v>
      </c>
    </row>
    <row r="10">
      <c r="A10" s="9" t="n">
        <v>44209</v>
      </c>
      <c r="B10" s="10" t="inlineStr">
        <is>
          <t>보라매지점</t>
        </is>
      </c>
      <c r="C10" s="10" t="inlineStr">
        <is>
          <t>코나하이브리드</t>
        </is>
      </c>
      <c r="D10" s="10" t="inlineStr">
        <is>
          <t>오수현</t>
        </is>
      </c>
      <c r="E10" s="10" t="n">
        <v>2</v>
      </c>
      <c r="F10" s="32" t="n">
        <v>29000000</v>
      </c>
    </row>
    <row r="11">
      <c r="A11" s="9" t="n">
        <v>44209</v>
      </c>
      <c r="B11" s="10" t="inlineStr">
        <is>
          <t>서초남부지점</t>
        </is>
      </c>
      <c r="C11" s="10" t="inlineStr">
        <is>
          <t>아반떼</t>
        </is>
      </c>
      <c r="D11" s="10" t="inlineStr">
        <is>
          <t>최현수</t>
        </is>
      </c>
      <c r="E11" s="10" t="n">
        <v>1</v>
      </c>
      <c r="F11" s="32" t="n">
        <v>23000000</v>
      </c>
    </row>
    <row r="12">
      <c r="A12" s="9" t="n">
        <v>44209</v>
      </c>
      <c r="B12" s="10" t="inlineStr">
        <is>
          <t>잠원중앙대리점</t>
        </is>
      </c>
      <c r="C12" s="10" t="inlineStr">
        <is>
          <t>베뉴</t>
        </is>
      </c>
      <c r="D12" s="10" t="inlineStr">
        <is>
          <t>김태현</t>
        </is>
      </c>
      <c r="E12" s="10" t="n">
        <v>2</v>
      </c>
      <c r="F12" s="32" t="n">
        <v>18900000</v>
      </c>
    </row>
    <row r="13">
      <c r="A13" s="9" t="n">
        <v>44209</v>
      </c>
      <c r="B13" s="10" t="inlineStr">
        <is>
          <t>보라매지점</t>
        </is>
      </c>
      <c r="C13" s="10" t="inlineStr">
        <is>
          <t>투싼</t>
        </is>
      </c>
      <c r="D13" s="10" t="inlineStr">
        <is>
          <t>오수현</t>
        </is>
      </c>
      <c r="E13" s="10" t="n">
        <v>3</v>
      </c>
      <c r="F13" s="32" t="n">
        <v>32000000</v>
      </c>
    </row>
    <row r="14">
      <c r="A14" s="9" t="n">
        <v>44210</v>
      </c>
      <c r="B14" s="10" t="inlineStr">
        <is>
          <t>서초남부지점</t>
        </is>
      </c>
      <c r="C14" s="10" t="inlineStr">
        <is>
          <t>코나</t>
        </is>
      </c>
      <c r="D14" s="10" t="inlineStr">
        <is>
          <t>최현수</t>
        </is>
      </c>
      <c r="E14" s="10" t="n">
        <v>1</v>
      </c>
      <c r="F14" s="32" t="n">
        <v>28000000</v>
      </c>
    </row>
    <row r="15">
      <c r="A15" s="9" t="n">
        <v>44210</v>
      </c>
      <c r="B15" s="10" t="inlineStr">
        <is>
          <t>서초남부지점</t>
        </is>
      </c>
      <c r="C15" s="10" t="inlineStr">
        <is>
          <t>그랜저</t>
        </is>
      </c>
      <c r="D15" s="10" t="inlineStr">
        <is>
          <t>오수진</t>
        </is>
      </c>
      <c r="E15" s="10" t="n">
        <v>2</v>
      </c>
      <c r="F15" s="32" t="n">
        <v>41000000</v>
      </c>
    </row>
    <row r="16">
      <c r="A16" s="9" t="n">
        <v>44210</v>
      </c>
      <c r="B16" s="10" t="inlineStr">
        <is>
          <t>보라매지점</t>
        </is>
      </c>
      <c r="C16" s="10" t="inlineStr">
        <is>
          <t>그랜저</t>
        </is>
      </c>
      <c r="D16" s="10" t="inlineStr">
        <is>
          <t>오수현</t>
        </is>
      </c>
      <c r="E16" s="10" t="n">
        <v>1</v>
      </c>
      <c r="F16" s="32" t="n">
        <v>41000000</v>
      </c>
    </row>
    <row r="17">
      <c r="A17" s="9" t="n">
        <v>44210</v>
      </c>
      <c r="B17" s="10" t="inlineStr">
        <is>
          <t>잠원중앙대리점</t>
        </is>
      </c>
      <c r="C17" s="10" t="inlineStr">
        <is>
          <t>아반떼</t>
        </is>
      </c>
      <c r="D17" s="10" t="inlineStr">
        <is>
          <t>김태현</t>
        </is>
      </c>
      <c r="E17" s="10" t="n">
        <v>1</v>
      </c>
      <c r="F17" s="32" t="n">
        <v>23000000</v>
      </c>
    </row>
    <row r="18">
      <c r="A18" s="9" t="n">
        <v>44210</v>
      </c>
      <c r="B18" s="10" t="inlineStr">
        <is>
          <t>상도대리점</t>
        </is>
      </c>
      <c r="C18" s="10" t="inlineStr">
        <is>
          <t>투싼</t>
        </is>
      </c>
      <c r="D18" s="10" t="inlineStr">
        <is>
          <t>이지현</t>
        </is>
      </c>
      <c r="E18" s="10" t="n">
        <v>3</v>
      </c>
      <c r="F18" s="32" t="n">
        <v>32000000</v>
      </c>
    </row>
    <row r="19">
      <c r="A19" s="9" t="n">
        <v>44211</v>
      </c>
      <c r="B19" s="10" t="inlineStr">
        <is>
          <t>보라매지점</t>
        </is>
      </c>
      <c r="C19" s="10" t="inlineStr">
        <is>
          <t>포터2</t>
        </is>
      </c>
      <c r="D19" s="10" t="inlineStr">
        <is>
          <t>오수현</t>
        </is>
      </c>
      <c r="E19" s="10" t="n">
        <v>2</v>
      </c>
      <c r="F19" s="32" t="n">
        <v>18000000</v>
      </c>
    </row>
    <row r="20">
      <c r="A20" s="9" t="n">
        <v>44211</v>
      </c>
      <c r="B20" s="10" t="inlineStr">
        <is>
          <t>보라매지점</t>
        </is>
      </c>
      <c r="C20" s="10" t="inlineStr">
        <is>
          <t>넥쏘</t>
        </is>
      </c>
      <c r="D20" s="10" t="inlineStr">
        <is>
          <t>오수현</t>
        </is>
      </c>
      <c r="E20" s="10" t="n">
        <v>2</v>
      </c>
      <c r="F20" s="32" t="n">
        <v>69800000</v>
      </c>
    </row>
    <row r="21">
      <c r="A21" s="9" t="n">
        <v>44211</v>
      </c>
      <c r="B21" s="10" t="inlineStr">
        <is>
          <t>서초남부지점</t>
        </is>
      </c>
      <c r="C21" s="10" t="inlineStr">
        <is>
          <t>코나하이브리드</t>
        </is>
      </c>
      <c r="D21" s="10" t="inlineStr">
        <is>
          <t>오수진</t>
        </is>
      </c>
      <c r="E21" s="10" t="n">
        <v>3</v>
      </c>
      <c r="F21" s="32" t="n">
        <v>25000000</v>
      </c>
    </row>
    <row r="22">
      <c r="A22" s="9" t="n">
        <v>44211</v>
      </c>
      <c r="B22" s="10" t="inlineStr">
        <is>
          <t>상도대리점</t>
        </is>
      </c>
      <c r="C22" s="10" t="inlineStr">
        <is>
          <t>베뉴</t>
        </is>
      </c>
      <c r="D22" s="10" t="inlineStr">
        <is>
          <t>이지현</t>
        </is>
      </c>
      <c r="E22" s="10" t="n">
        <v>2</v>
      </c>
      <c r="F22" s="32" t="n">
        <v>19000000</v>
      </c>
    </row>
    <row r="23">
      <c r="A23" s="9" t="n">
        <v>44211</v>
      </c>
      <c r="B23" s="10" t="inlineStr">
        <is>
          <t>보라매지점</t>
        </is>
      </c>
      <c r="C23" s="10" t="inlineStr">
        <is>
          <t>아반떼</t>
        </is>
      </c>
      <c r="D23" s="10" t="inlineStr">
        <is>
          <t>오수현</t>
        </is>
      </c>
      <c r="E23" s="10" t="n">
        <v>1</v>
      </c>
      <c r="F23" s="32" t="n">
        <v>26800000</v>
      </c>
    </row>
  </sheetData>
  <mergeCells count="1">
    <mergeCell ref="A1:F1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11">
    <outlinePr summaryBelow="1" summaryRight="1"/>
    <pageSetUpPr/>
  </sheetPr>
  <dimension ref="A1:D11"/>
  <sheetViews>
    <sheetView zoomScale="220" zoomScaleNormal="220" workbookViewId="0">
      <selection activeCell="D4" sqref="D4"/>
    </sheetView>
  </sheetViews>
  <sheetFormatPr baseColWidth="8" defaultRowHeight="16.5"/>
  <cols>
    <col width="15.875" customWidth="1" style="27" min="1" max="1"/>
    <col width="8.875" bestFit="1" customWidth="1" style="27" min="3" max="3"/>
    <col width="12.125" customWidth="1" style="27" min="4" max="4"/>
  </cols>
  <sheetData>
    <row r="1">
      <c r="A1" s="23" t="inlineStr">
        <is>
          <t>카페 매출 현황</t>
        </is>
      </c>
    </row>
    <row r="3">
      <c r="A3" s="24" t="inlineStr">
        <is>
          <t xml:space="preserve">품목 </t>
        </is>
      </c>
      <c r="B3" s="24" t="inlineStr">
        <is>
          <t>판매량</t>
        </is>
      </c>
      <c r="C3" s="24" t="inlineStr">
        <is>
          <t>판매가격</t>
        </is>
      </c>
      <c r="D3" s="24" t="inlineStr">
        <is>
          <t>총판매액</t>
        </is>
      </c>
    </row>
    <row r="4">
      <c r="A4" s="24" t="inlineStr">
        <is>
          <t>아메리카노</t>
        </is>
      </c>
      <c r="B4" s="24" t="n">
        <v>113</v>
      </c>
      <c r="C4" s="30" t="n">
        <v>4000</v>
      </c>
      <c r="D4" s="30">
        <f>B4*C4</f>
        <v/>
      </c>
    </row>
    <row r="5">
      <c r="A5" s="24" t="inlineStr">
        <is>
          <t>카페라떼</t>
        </is>
      </c>
      <c r="B5" s="24" t="n">
        <v>46</v>
      </c>
      <c r="C5" s="30" t="n">
        <v>4500</v>
      </c>
      <c r="D5" s="30">
        <f>B5*C5</f>
        <v/>
      </c>
    </row>
    <row r="6">
      <c r="A6" s="24" t="inlineStr">
        <is>
          <t>카페모카</t>
        </is>
      </c>
      <c r="B6" s="24" t="n">
        <v>21</v>
      </c>
      <c r="C6" s="30" t="n">
        <v>5000</v>
      </c>
      <c r="D6" s="30">
        <f>B6*C6</f>
        <v/>
      </c>
    </row>
    <row r="7">
      <c r="A7" s="24" t="inlineStr">
        <is>
          <t>바닐라라떼</t>
        </is>
      </c>
      <c r="B7" s="24" t="n">
        <v>37</v>
      </c>
      <c r="C7" s="30" t="n">
        <v>5000</v>
      </c>
      <c r="D7" s="30">
        <f>B7*C7</f>
        <v/>
      </c>
    </row>
    <row r="8">
      <c r="A8" s="24" t="inlineStr">
        <is>
          <t>녹차라떼</t>
        </is>
      </c>
      <c r="B8" s="24" t="n">
        <v>12</v>
      </c>
      <c r="C8" s="30" t="n">
        <v>5000</v>
      </c>
      <c r="D8" s="30">
        <f>B8*C8</f>
        <v/>
      </c>
    </row>
    <row r="9">
      <c r="A9" s="24" t="inlineStr">
        <is>
          <t>딸기요커트스무디</t>
        </is>
      </c>
      <c r="B9" s="24" t="n">
        <v>65</v>
      </c>
      <c r="C9" s="30" t="n">
        <v>5500</v>
      </c>
      <c r="D9" s="30">
        <f>B9*C9</f>
        <v/>
      </c>
    </row>
    <row r="10">
      <c r="A10" s="24" t="inlineStr">
        <is>
          <t>자몽에이드</t>
        </is>
      </c>
      <c r="B10" s="24" t="n">
        <v>21</v>
      </c>
      <c r="C10" s="30" t="n">
        <v>5500</v>
      </c>
      <c r="D10" s="30">
        <f>B10*C10</f>
        <v/>
      </c>
    </row>
    <row r="11">
      <c r="A11" s="24" t="inlineStr">
        <is>
          <t>레몬에이드</t>
        </is>
      </c>
      <c r="B11" s="24" t="n">
        <v>74</v>
      </c>
      <c r="C11" s="30" t="n">
        <v>5500</v>
      </c>
      <c r="D11" s="30">
        <f>B11*C11</f>
        <v/>
      </c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A1:E10"/>
  <sheetViews>
    <sheetView zoomScale="235" zoomScaleNormal="235" workbookViewId="0">
      <selection activeCell="D11" sqref="D11"/>
    </sheetView>
  </sheetViews>
  <sheetFormatPr baseColWidth="8" defaultRowHeight="16.5"/>
  <cols>
    <col width="15" customWidth="1" style="27" min="1" max="1"/>
    <col width="10.875" customWidth="1" style="27" min="4" max="4"/>
  </cols>
  <sheetData>
    <row r="1">
      <c r="A1" s="23" t="inlineStr">
        <is>
          <t>사무용품 견적서</t>
        </is>
      </c>
    </row>
    <row r="3">
      <c r="A3" s="3" t="inlineStr">
        <is>
          <t>품명</t>
        </is>
      </c>
      <c r="B3" s="3" t="inlineStr">
        <is>
          <t>단가</t>
        </is>
      </c>
      <c r="C3" s="3" t="inlineStr">
        <is>
          <t>수량</t>
        </is>
      </c>
      <c r="D3" s="3" t="inlineStr">
        <is>
          <t>공급가액</t>
        </is>
      </c>
      <c r="E3" s="3" t="inlineStr">
        <is>
          <t>세액</t>
        </is>
      </c>
    </row>
    <row r="4">
      <c r="A4" s="3" t="inlineStr">
        <is>
          <t>포스트-잇654</t>
        </is>
      </c>
      <c r="B4" s="29" t="n">
        <v>2200</v>
      </c>
      <c r="C4" s="29" t="n">
        <v>20</v>
      </c>
      <c r="D4" s="29">
        <f>B4*C4</f>
        <v/>
      </c>
      <c r="E4" s="29">
        <f>D4*10%</f>
        <v/>
      </c>
    </row>
    <row r="5">
      <c r="A5" s="3" t="inlineStr">
        <is>
          <t>메탈 스테이플러</t>
        </is>
      </c>
      <c r="B5" s="29" t="n">
        <v>4800</v>
      </c>
      <c r="C5" s="29" t="n">
        <v>5</v>
      </c>
      <c r="D5" s="29">
        <f>B5*C5</f>
        <v/>
      </c>
      <c r="E5" s="29">
        <f>D5*10%</f>
        <v/>
      </c>
    </row>
    <row r="6">
      <c r="A6" s="3" t="inlineStr">
        <is>
          <t>책꽂이 3단</t>
        </is>
      </c>
      <c r="B6" s="29" t="n">
        <v>8600</v>
      </c>
      <c r="C6" s="29" t="n">
        <v>6</v>
      </c>
      <c r="D6" s="29">
        <f>B6*C6</f>
        <v/>
      </c>
      <c r="E6" s="29">
        <f>D6*10%</f>
        <v/>
      </c>
    </row>
    <row r="7">
      <c r="A7" s="3" t="inlineStr">
        <is>
          <t>딱풀35g</t>
        </is>
      </c>
      <c r="B7" s="29" t="n">
        <v>1000</v>
      </c>
      <c r="C7" s="29" t="n">
        <v>15</v>
      </c>
      <c r="D7" s="29">
        <f>B7*C7</f>
        <v/>
      </c>
      <c r="E7" s="29">
        <f>D7*10%</f>
        <v/>
      </c>
    </row>
    <row r="8">
      <c r="A8" s="3" t="inlineStr">
        <is>
          <t>계산기AS-12</t>
        </is>
      </c>
      <c r="B8" s="29" t="n">
        <v>11400</v>
      </c>
      <c r="C8" s="29" t="n">
        <v>10</v>
      </c>
      <c r="D8" s="29">
        <f>B8*C8</f>
        <v/>
      </c>
      <c r="E8" s="29">
        <f>D8*10%</f>
        <v/>
      </c>
    </row>
    <row r="9">
      <c r="A9" s="3" t="inlineStr">
        <is>
          <t>OPP테이프(투명)</t>
        </is>
      </c>
      <c r="B9" s="29" t="n">
        <v>1800</v>
      </c>
      <c r="C9" s="29" t="n">
        <v>30</v>
      </c>
      <c r="D9" s="29">
        <f>B9*C9</f>
        <v/>
      </c>
      <c r="E9" s="29">
        <f>D9*10%</f>
        <v/>
      </c>
    </row>
    <row r="10">
      <c r="A10" s="24" t="inlineStr">
        <is>
          <t>합계</t>
        </is>
      </c>
      <c r="B10" s="31" t="n"/>
      <c r="C10" s="28" t="n"/>
      <c r="D10" s="3" t="n"/>
      <c r="E10" s="3" t="n"/>
    </row>
  </sheetData>
  <mergeCells count="2">
    <mergeCell ref="A10:C10"/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15">
    <outlinePr summaryBelow="1" summaryRight="1"/>
    <pageSetUpPr/>
  </sheetPr>
  <dimension ref="A1:E8"/>
  <sheetViews>
    <sheetView topLeftCell="A10" zoomScale="205" zoomScaleNormal="205" workbookViewId="0">
      <selection activeCell="E25" sqref="E25"/>
    </sheetView>
  </sheetViews>
  <sheetFormatPr baseColWidth="8" defaultRowHeight="16.5"/>
  <sheetData>
    <row r="1">
      <c r="A1" s="23" t="inlineStr">
        <is>
          <t xml:space="preserve">마트 재고 관리 현황 </t>
        </is>
      </c>
    </row>
    <row r="2">
      <c r="E2" s="10" t="inlineStr">
        <is>
          <t>(단위:개)</t>
        </is>
      </c>
    </row>
    <row r="3">
      <c r="A3" s="24" t="inlineStr">
        <is>
          <t>제품코드</t>
        </is>
      </c>
      <c r="B3" s="24" t="inlineStr">
        <is>
          <t>이월</t>
        </is>
      </c>
      <c r="C3" s="24" t="inlineStr">
        <is>
          <t>수입</t>
        </is>
      </c>
      <c r="D3" s="24" t="inlineStr">
        <is>
          <t>수출</t>
        </is>
      </c>
      <c r="E3" s="24" t="inlineStr">
        <is>
          <t>잔여</t>
        </is>
      </c>
    </row>
    <row r="4">
      <c r="A4" s="24" t="inlineStr">
        <is>
          <t>DS012</t>
        </is>
      </c>
      <c r="B4" s="24" t="n">
        <v>30</v>
      </c>
      <c r="C4" s="24" t="n">
        <v>200</v>
      </c>
      <c r="D4" s="24" t="n">
        <v>150</v>
      </c>
      <c r="E4" s="24" t="n">
        <v>80</v>
      </c>
    </row>
    <row r="5">
      <c r="A5" s="24" t="inlineStr">
        <is>
          <t>AS129</t>
        </is>
      </c>
      <c r="B5" s="24" t="n">
        <v>23</v>
      </c>
      <c r="C5" s="24" t="n">
        <v>230</v>
      </c>
      <c r="D5" s="24" t="n">
        <v>210</v>
      </c>
      <c r="E5" s="24" t="n">
        <v>43</v>
      </c>
    </row>
    <row r="6">
      <c r="A6" s="24" t="inlineStr">
        <is>
          <t>KD411</t>
        </is>
      </c>
      <c r="B6" s="24" t="n">
        <v>46</v>
      </c>
      <c r="C6" s="24" t="n">
        <v>400</v>
      </c>
      <c r="D6" s="24" t="n">
        <v>390</v>
      </c>
      <c r="E6" s="24" t="n">
        <v>56</v>
      </c>
    </row>
    <row r="7">
      <c r="A7" s="24" t="inlineStr">
        <is>
          <t>QW371</t>
        </is>
      </c>
      <c r="B7" s="24" t="n">
        <v>16</v>
      </c>
      <c r="C7" s="24" t="n">
        <v>430</v>
      </c>
      <c r="D7" s="24" t="n">
        <v>257</v>
      </c>
      <c r="E7" s="24" t="n">
        <v>189</v>
      </c>
    </row>
    <row r="8">
      <c r="A8" s="24" t="inlineStr">
        <is>
          <t>ED185</t>
        </is>
      </c>
      <c r="B8" s="24" t="n">
        <v>38</v>
      </c>
      <c r="C8" s="24" t="n">
        <v>390</v>
      </c>
      <c r="D8" s="24" t="n">
        <v>280</v>
      </c>
      <c r="E8" s="24" t="n">
        <v>148</v>
      </c>
    </row>
  </sheetData>
  <mergeCells count="1">
    <mergeCell ref="A1:E1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SAMSUNG</dc:creator>
  <dcterms:created xmlns:dcterms="http://purl.org/dc/terms/" xmlns:xsi="http://www.w3.org/2001/XMLSchema-instance" xsi:type="dcterms:W3CDTF">2021-03-13T14:21:08Z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