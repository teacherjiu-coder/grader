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23880" yWindow="2805" windowWidth="27720" windowHeight="18195" tabRatio="930" firstSheet="0" activeTab="7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/>
  <calcPr calcId="181029" fullCalcOnLoad="1"/>
</workbook>
</file>

<file path=xl/styles.xml><?xml version="1.0" encoding="utf-8"?>
<styleSheet xmlns="http://schemas.openxmlformats.org/spreadsheetml/2006/main">
  <numFmts count="4">
    <numFmt numFmtId="164" formatCode="mm&quot;월&quot;\ dd&quot;일&quot;"/>
    <numFmt numFmtId="165" formatCode="_-* #,##0_-;\-* #,##0_-;_-* &quot;-&quot;_-;_-@_-"/>
    <numFmt numFmtId="166" formatCode="0.0"/>
    <numFmt numFmtId="167" formatCode="yyyy&quot;년&quot;mm&quot;년&quot;dd&quot;일&quot;"/>
  </numFmts>
  <fonts count="8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b val="1"/>
      <color theme="1"/>
      <sz val="11"/>
      <scheme val="minor"/>
    </font>
    <font>
      <name val="맑은 고딕"/>
      <charset val="129"/>
      <family val="2"/>
      <color theme="0"/>
      <sz val="11"/>
      <scheme val="minor"/>
    </font>
    <font>
      <name val="굴림"/>
      <charset val="129"/>
      <family val="3"/>
      <color theme="1"/>
      <sz val="20"/>
    </font>
    <font>
      <name val="돋움"/>
      <charset val="129"/>
      <family val="3"/>
      <color indexed="81"/>
      <sz val="9"/>
    </font>
    <font>
      <name val="맑은 고딕"/>
      <charset val="129"/>
      <family val="3"/>
      <b val="1"/>
      <color theme="1"/>
      <sz val="18"/>
      <scheme val="minor"/>
    </font>
  </fonts>
  <fills count="4">
    <fill>
      <patternFill/>
    </fill>
    <fill>
      <patternFill patternType="gray125"/>
    </fill>
    <fill>
      <patternFill patternType="solid">
        <fgColor theme="8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2" fillId="0" borderId="0" applyAlignment="1">
      <alignment vertical="center"/>
    </xf>
    <xf numFmtId="165" fontId="2" fillId="0" borderId="0" applyAlignment="1">
      <alignment vertical="center"/>
    </xf>
    <xf numFmtId="0" fontId="4" fillId="2" borderId="0" applyAlignment="1">
      <alignment vertical="center"/>
    </xf>
  </cellStyleXfs>
  <cellXfs count="54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4" fillId="2" borderId="2" applyAlignment="1" pivotButton="0" quotePrefix="0" xfId="2">
      <alignment horizontal="center" vertical="center"/>
    </xf>
    <xf numFmtId="0" fontId="4" fillId="2" borderId="3" applyAlignment="1" pivotButton="0" quotePrefix="0" xfId="2">
      <alignment horizontal="center" vertical="center"/>
    </xf>
    <xf numFmtId="0" fontId="4" fillId="2" borderId="4" applyAlignment="1" pivotButton="0" quotePrefix="0" xfId="2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165" fontId="0" fillId="0" borderId="0" applyAlignment="1" pivotButton="0" quotePrefix="0" xfId="1">
      <alignment vertical="center"/>
    </xf>
    <xf numFmtId="165" fontId="0" fillId="0" borderId="1" applyAlignment="1" pivotButton="0" quotePrefix="0" xfId="1">
      <alignment vertical="center"/>
    </xf>
    <xf numFmtId="165" fontId="0" fillId="0" borderId="1" applyAlignment="1" pivotButton="0" quotePrefix="0" xfId="1">
      <alignment horizontal="center" vertical="center"/>
    </xf>
    <xf numFmtId="165" fontId="0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0" fillId="3" borderId="1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1">
      <alignment vertical="center"/>
    </xf>
    <xf numFmtId="0" fontId="3" fillId="0" borderId="0" applyAlignment="1" pivotButton="0" quotePrefix="0" xfId="0">
      <alignment horizontal="center" vertical="center"/>
    </xf>
    <xf numFmtId="165" fontId="0" fillId="0" borderId="1" applyAlignment="1" pivotButton="0" quotePrefix="0" xfId="1">
      <alignment vertical="center"/>
    </xf>
    <xf numFmtId="165" fontId="0" fillId="3" borderId="1" applyAlignment="1" pivotButton="0" quotePrefix="0" xfId="1">
      <alignment vertical="center"/>
    </xf>
    <xf numFmtId="165" fontId="0" fillId="0" borderId="1" applyAlignment="1" pivotButton="0" quotePrefix="0" xfId="1">
      <alignment horizontal="center" vertical="center"/>
    </xf>
    <xf numFmtId="166" fontId="0" fillId="0" borderId="0" applyAlignment="1" pivotButton="0" quotePrefix="0" xfId="0">
      <alignment vertical="center"/>
    </xf>
    <xf numFmtId="166" fontId="0" fillId="0" borderId="1" applyAlignment="1" pivotButton="0" quotePrefix="0" xfId="0">
      <alignment vertical="center"/>
    </xf>
    <xf numFmtId="0" fontId="0" fillId="3" borderId="1" applyAlignment="1" pivotButton="0" quotePrefix="0" xfId="0">
      <alignment horizontal="center" vertical="center" wrapText="1"/>
    </xf>
    <xf numFmtId="0" fontId="0" fillId="3" borderId="1" applyAlignment="1" pivotButton="0" quotePrefix="0" xfId="0">
      <alignment horizontal="center" vertical="center"/>
    </xf>
    <xf numFmtId="167" fontId="0" fillId="0" borderId="1" applyAlignment="1" pivotButton="0" quotePrefix="0" xfId="0">
      <alignment horizontal="center" vertical="center"/>
    </xf>
    <xf numFmtId="167" fontId="0" fillId="0" borderId="8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14" fontId="0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165" fontId="0" fillId="0" borderId="1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0" pivotButton="0" quotePrefix="0" xfId="0"/>
    <xf numFmtId="164" fontId="0" fillId="0" borderId="1" applyAlignment="1" pivotButton="0" quotePrefix="0" xfId="0">
      <alignment horizontal="center" vertical="center"/>
    </xf>
    <xf numFmtId="165" fontId="0" fillId="0" borderId="1" applyAlignment="1" pivotButton="0" quotePrefix="0" xfId="1">
      <alignment vertical="center"/>
    </xf>
    <xf numFmtId="165" fontId="0" fillId="0" borderId="1" applyAlignment="1" pivotButton="0" quotePrefix="0" xfId="0">
      <alignment vertical="center"/>
    </xf>
    <xf numFmtId="165" fontId="0" fillId="0" borderId="1" applyAlignment="1" pivotButton="0" quotePrefix="0" xfId="1">
      <alignment horizontal="center" vertical="center"/>
    </xf>
    <xf numFmtId="0" fontId="0" fillId="0" borderId="13" pivotButton="0" quotePrefix="0" xfId="0"/>
    <xf numFmtId="165" fontId="0" fillId="0" borderId="0" applyAlignment="1" pivotButton="0" quotePrefix="0" xfId="1">
      <alignment vertical="center"/>
    </xf>
    <xf numFmtId="0" fontId="0" fillId="0" borderId="10" pivotButton="0" quotePrefix="0" xfId="0"/>
    <xf numFmtId="165" fontId="0" fillId="3" borderId="1" applyAlignment="1" pivotButton="0" quotePrefix="0" xfId="1">
      <alignment vertical="center"/>
    </xf>
    <xf numFmtId="166" fontId="0" fillId="0" borderId="1" applyAlignment="1" pivotButton="0" quotePrefix="0" xfId="0">
      <alignment vertical="center"/>
    </xf>
    <xf numFmtId="166" fontId="0" fillId="0" borderId="0" applyAlignment="1" pivotButton="0" quotePrefix="0" xfId="0">
      <alignment vertical="center"/>
    </xf>
  </cellXfs>
  <cellStyles count="3">
    <cellStyle name="표준" xfId="0" builtinId="0"/>
    <cellStyle name="쉼표 [0]" xfId="1" builtinId="6"/>
    <cellStyle name="강조색5" xfId="2" builtinId="45"/>
  </cellStyles>
  <dxfs count="1">
    <dxf>
      <font>
        <color rgb="FF0070C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plotArea>
      <layout/>
      <barChart>
        <barDir val="col"/>
        <grouping val="clustered"/>
        <varyColors val="0"/>
        <ser>
          <idx val="0"/>
          <order val="0"/>
          <tx>
            <strRef>
              <f>차트작업!$A$4</f>
              <strCache>
                <ptCount val="1"/>
                <pt idx="0">
                  <v>전문관리직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차트작업!$B$3:$L$3</f>
              <strCache>
                <ptCount val="11"/>
                <pt idx="0">
                  <v>TV,비디오시청</v>
                </pt>
                <pt idx="1">
                  <v>문화예술활동</v>
                </pt>
                <pt idx="2">
                  <v>창작취미
(독서, 미술, 악기 등)</v>
                </pt>
                <pt idx="3">
                  <v>운동경기관람</v>
                </pt>
                <pt idx="4">
                  <v>운동
(축구, 테니스 등)</v>
                </pt>
                <pt idx="5">
                  <v>여행야외나들이</v>
                </pt>
                <pt idx="6">
                  <v>컴퓨터게임</v>
                </pt>
                <pt idx="7">
                  <v>사회봉사활동</v>
                </pt>
                <pt idx="8">
                  <v>종교활동</v>
                </pt>
                <pt idx="9">
                  <v>휴식</v>
                </pt>
                <pt idx="10">
                  <v>기타</v>
                </pt>
              </strCache>
            </strRef>
          </cat>
          <val>
            <numRef>
              <f>차트작업!$B$4:$L$4</f>
              <numCache>
                <formatCode>0.0</formatCode>
                <ptCount val="11"/>
                <pt idx="0">
                  <v>34.7</v>
                </pt>
                <pt idx="1">
                  <v>9.1</v>
                </pt>
                <pt idx="2">
                  <v>4.8</v>
                </pt>
                <pt idx="3">
                  <v>5.6</v>
                </pt>
                <pt idx="4">
                  <v>9.6</v>
                </pt>
                <pt idx="5">
                  <v>10.4</v>
                </pt>
                <pt idx="6">
                  <v>3.6</v>
                </pt>
                <pt idx="7">
                  <v>1</v>
                </pt>
                <pt idx="8">
                  <v>9.199999999999999</v>
                </pt>
                <pt idx="9">
                  <v>11.8</v>
                </pt>
                <pt idx="10">
                  <v>0.1</v>
                </pt>
              </numCache>
            </numRef>
          </val>
        </ser>
        <ser>
          <idx val="1"/>
          <order val="1"/>
          <tx>
            <strRef>
              <f>차트작업!$A$5</f>
              <strCache>
                <ptCount val="1"/>
                <pt idx="0">
                  <v>사무직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차트작업!$B$3:$L$3</f>
              <strCache>
                <ptCount val="11"/>
                <pt idx="0">
                  <v>TV,비디오시청</v>
                </pt>
                <pt idx="1">
                  <v>문화예술활동</v>
                </pt>
                <pt idx="2">
                  <v>창작취미
(독서, 미술, 악기 등)</v>
                </pt>
                <pt idx="3">
                  <v>운동경기관람</v>
                </pt>
                <pt idx="4">
                  <v>운동
(축구, 테니스 등)</v>
                </pt>
                <pt idx="5">
                  <v>여행야외나들이</v>
                </pt>
                <pt idx="6">
                  <v>컴퓨터게임</v>
                </pt>
                <pt idx="7">
                  <v>사회봉사활동</v>
                </pt>
                <pt idx="8">
                  <v>종교활동</v>
                </pt>
                <pt idx="9">
                  <v>휴식</v>
                </pt>
                <pt idx="10">
                  <v>기타</v>
                </pt>
              </strCache>
            </strRef>
          </cat>
          <val>
            <numRef>
              <f>차트작업!$B$5:$L$5</f>
              <numCache>
                <formatCode>0.0</formatCode>
                <ptCount val="11"/>
                <pt idx="0">
                  <v>40.3</v>
                </pt>
                <pt idx="1">
                  <v>9.699999999999999</v>
                </pt>
                <pt idx="2">
                  <v>4.1</v>
                </pt>
                <pt idx="3">
                  <v>3.1</v>
                </pt>
                <pt idx="4">
                  <v>6</v>
                </pt>
                <pt idx="5">
                  <v>12.4</v>
                </pt>
                <pt idx="6">
                  <v>7.3</v>
                </pt>
                <pt idx="7">
                  <v>0.7</v>
                </pt>
                <pt idx="8">
                  <v>6.5</v>
                </pt>
                <pt idx="9">
                  <v>9.9</v>
                </pt>
                <pt idx="10">
                  <v>0</v>
                </pt>
              </numCache>
            </numRef>
          </val>
        </ser>
        <ser>
          <idx val="2"/>
          <order val="2"/>
          <tx>
            <strRef>
              <f>차트작업!$A$6</f>
              <strCache>
                <ptCount val="1"/>
                <pt idx="0">
                  <v>서비스판매직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차트작업!$B$3:$L$3</f>
              <strCache>
                <ptCount val="11"/>
                <pt idx="0">
                  <v>TV,비디오시청</v>
                </pt>
                <pt idx="1">
                  <v>문화예술활동</v>
                </pt>
                <pt idx="2">
                  <v>창작취미
(독서, 미술, 악기 등)</v>
                </pt>
                <pt idx="3">
                  <v>운동경기관람</v>
                </pt>
                <pt idx="4">
                  <v>운동
(축구, 테니스 등)</v>
                </pt>
                <pt idx="5">
                  <v>여행야외나들이</v>
                </pt>
                <pt idx="6">
                  <v>컴퓨터게임</v>
                </pt>
                <pt idx="7">
                  <v>사회봉사활동</v>
                </pt>
                <pt idx="8">
                  <v>종교활동</v>
                </pt>
                <pt idx="9">
                  <v>휴식</v>
                </pt>
                <pt idx="10">
                  <v>기타</v>
                </pt>
              </strCache>
            </strRef>
          </cat>
          <val>
            <numRef>
              <f>차트작업!$B$6:$L$6</f>
              <numCache>
                <formatCode>0.0</formatCode>
                <ptCount val="11"/>
                <pt idx="0">
                  <v>45.6</v>
                </pt>
                <pt idx="1">
                  <v>5.9</v>
                </pt>
                <pt idx="2">
                  <v>3.9</v>
                </pt>
                <pt idx="3">
                  <v>2.6</v>
                </pt>
                <pt idx="4">
                  <v>6.5</v>
                </pt>
                <pt idx="5">
                  <v>9.300000000000001</v>
                </pt>
                <pt idx="6">
                  <v>5.3</v>
                </pt>
                <pt idx="7">
                  <v>1.2</v>
                </pt>
                <pt idx="8">
                  <v>7.4</v>
                </pt>
                <pt idx="9">
                  <v>12.2</v>
                </pt>
                <pt idx="10">
                  <v>0.1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95728943"/>
        <axId val="1495731439"/>
      </barChart>
      <catAx>
        <axId val="149572894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495731439"/>
        <crosses val="autoZero"/>
        <auto val="1"/>
        <lblAlgn val="ctr"/>
        <lblOffset val="100"/>
        <noMultiLvlLbl val="0"/>
      </catAx>
      <valAx>
        <axId val="149573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4957289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0</colOff>
      <row>12</row>
      <rowOff>47624</rowOff>
    </from>
    <to>
      <col>12</col>
      <colOff>657224</colOff>
      <row>37</row>
      <rowOff>19050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1"/>
  <sheetViews>
    <sheetView zoomScale="310" zoomScaleNormal="310" workbookViewId="0">
      <selection activeCell="B3" sqref="B3"/>
    </sheetView>
  </sheetViews>
  <sheetFormatPr baseColWidth="8" defaultRowHeight="16.5"/>
  <sheetData>
    <row r="1">
      <c r="A1" s="0" t="inlineStr">
        <is>
          <t>신입사원 등록카드 현황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10"/>
  <sheetViews>
    <sheetView zoomScale="250" zoomScaleNormal="250" workbookViewId="0">
      <selection activeCell="E3" sqref="E3"/>
    </sheetView>
  </sheetViews>
  <sheetFormatPr baseColWidth="8" defaultRowHeight="16.5"/>
  <cols>
    <col width="7.125" customWidth="1" style="43" min="1" max="1"/>
    <col width="7.375" bestFit="1" customWidth="1" style="43" min="2" max="2"/>
    <col width="5.625" bestFit="1" customWidth="1" style="43" min="3" max="3"/>
    <col width="11.75" bestFit="1" customWidth="1" style="43" min="4" max="4"/>
    <col width="5.625" bestFit="1" customWidth="1" style="43" min="5" max="6"/>
    <col width="15.25" bestFit="1" customWidth="1" style="43" min="7" max="7"/>
  </cols>
  <sheetData>
    <row r="1">
      <c r="A1" s="0" t="inlineStr">
        <is>
          <t>영업1부 비상연락망</t>
        </is>
      </c>
    </row>
    <row r="3">
      <c r="A3" s="35" t="inlineStr">
        <is>
          <t xml:space="preserve">번호 </t>
        </is>
      </c>
      <c r="B3" s="35" t="inlineStr">
        <is>
          <t>이름</t>
        </is>
      </c>
      <c r="C3" s="35" t="inlineStr">
        <is>
          <t>직위</t>
        </is>
      </c>
      <c r="D3" s="35" t="inlineStr">
        <is>
          <t>입사일</t>
        </is>
      </c>
      <c r="E3" s="35" t="inlineStr">
        <is>
          <t>성별</t>
        </is>
      </c>
      <c r="F3" s="35" t="inlineStr">
        <is>
          <t>나이</t>
        </is>
      </c>
      <c r="G3" s="35" t="inlineStr">
        <is>
          <t xml:space="preserve">연락처 </t>
        </is>
      </c>
    </row>
    <row r="4">
      <c r="A4" s="35" t="n">
        <v>1</v>
      </c>
      <c r="B4" s="35" t="inlineStr">
        <is>
          <t>김지민</t>
        </is>
      </c>
      <c r="C4" s="35" t="inlineStr">
        <is>
          <t>사원</t>
        </is>
      </c>
      <c r="D4" s="36" t="n">
        <v>44271</v>
      </c>
      <c r="E4" s="35" t="inlineStr">
        <is>
          <t>여</t>
        </is>
      </c>
      <c r="F4" s="35" t="n">
        <v>28</v>
      </c>
      <c r="G4" s="35" t="inlineStr">
        <is>
          <t>010-7172-1281</t>
        </is>
      </c>
    </row>
    <row r="5">
      <c r="A5" s="35" t="n">
        <v>2</v>
      </c>
      <c r="B5" s="35" t="inlineStr">
        <is>
          <t>김지수</t>
        </is>
      </c>
      <c r="C5" s="35" t="inlineStr">
        <is>
          <t>대리</t>
        </is>
      </c>
      <c r="D5" s="36" t="n">
        <v>43603</v>
      </c>
      <c r="E5" s="35" t="inlineStr">
        <is>
          <t>여</t>
        </is>
      </c>
      <c r="F5" s="35" t="n">
        <v>34</v>
      </c>
      <c r="G5" s="35" t="inlineStr">
        <is>
          <t>010-2837-3741</t>
        </is>
      </c>
    </row>
    <row r="6">
      <c r="A6" s="35" t="n">
        <v>3</v>
      </c>
      <c r="B6" s="35" t="inlineStr">
        <is>
          <t>우현주</t>
        </is>
      </c>
      <c r="C6" s="35" t="inlineStr">
        <is>
          <t>과장</t>
        </is>
      </c>
      <c r="D6" s="36" t="n">
        <v>40533</v>
      </c>
      <c r="E6" s="35" t="inlineStr">
        <is>
          <t>여</t>
        </is>
      </c>
      <c r="F6" s="35" t="n">
        <v>42</v>
      </c>
      <c r="G6" s="35" t="inlineStr">
        <is>
          <t>010-2930-5818</t>
        </is>
      </c>
    </row>
    <row r="7">
      <c r="A7" s="35" t="n">
        <v>4</v>
      </c>
      <c r="B7" s="35" t="inlineStr">
        <is>
          <t>이혁수</t>
        </is>
      </c>
      <c r="C7" s="35" t="inlineStr">
        <is>
          <t>차장</t>
        </is>
      </c>
      <c r="D7" s="36" t="n">
        <v>43695</v>
      </c>
      <c r="E7" s="35" t="inlineStr">
        <is>
          <t>남</t>
        </is>
      </c>
      <c r="F7" s="35" t="n">
        <v>53</v>
      </c>
      <c r="G7" s="35" t="inlineStr">
        <is>
          <t>010-3847-3747</t>
        </is>
      </c>
    </row>
    <row r="8">
      <c r="A8" s="35" t="n">
        <v>5</v>
      </c>
      <c r="B8" s="35" t="inlineStr">
        <is>
          <t>최현수</t>
        </is>
      </c>
      <c r="C8" s="35" t="inlineStr">
        <is>
          <t>사원</t>
        </is>
      </c>
      <c r="D8" s="36" t="n">
        <v>44271</v>
      </c>
      <c r="E8" s="35" t="inlineStr">
        <is>
          <t>남</t>
        </is>
      </c>
      <c r="F8" s="35" t="n">
        <v>30</v>
      </c>
      <c r="G8" s="35" t="inlineStr">
        <is>
          <t>010-7721-6646</t>
        </is>
      </c>
    </row>
    <row r="9">
      <c r="A9" s="35" t="n">
        <v>6</v>
      </c>
      <c r="B9" s="35" t="inlineStr">
        <is>
          <t>하도윤</t>
        </is>
      </c>
      <c r="C9" s="35" t="inlineStr">
        <is>
          <t>사원</t>
        </is>
      </c>
      <c r="D9" s="36" t="n">
        <v>44094</v>
      </c>
      <c r="E9" s="35" t="inlineStr">
        <is>
          <t>남</t>
        </is>
      </c>
      <c r="F9" s="35" t="n">
        <v>31</v>
      </c>
      <c r="G9" s="35" t="inlineStr">
        <is>
          <t>010-2838-4756</t>
        </is>
      </c>
    </row>
    <row r="10">
      <c r="A10" s="35" t="n">
        <v>7</v>
      </c>
      <c r="B10" s="35" t="inlineStr">
        <is>
          <t>한시훈</t>
        </is>
      </c>
      <c r="C10" s="35" t="inlineStr">
        <is>
          <t>대리</t>
        </is>
      </c>
      <c r="D10" s="36" t="n">
        <v>43238</v>
      </c>
      <c r="E10" s="35" t="inlineStr">
        <is>
          <t>남</t>
        </is>
      </c>
      <c r="F10" s="35" t="n">
        <v>36</v>
      </c>
      <c r="G10" s="35" t="inlineStr">
        <is>
          <t>010-7648-6510</t>
        </is>
      </c>
    </row>
  </sheetData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3"/>
  <sheetViews>
    <sheetView zoomScale="220" zoomScaleNormal="220" workbookViewId="0">
      <selection activeCell="F7" sqref="F7"/>
    </sheetView>
  </sheetViews>
  <sheetFormatPr baseColWidth="8" defaultRowHeight="16.5"/>
  <sheetData>
    <row r="1">
      <c r="A1" s="0" t="inlineStr">
        <is>
          <t xml:space="preserve">모의고사 점수 </t>
        </is>
      </c>
    </row>
    <row r="3">
      <c r="A3" s="20" t="inlineStr">
        <is>
          <t>번호</t>
        </is>
      </c>
      <c r="B3" s="20" t="inlineStr">
        <is>
          <t>이름</t>
        </is>
      </c>
      <c r="C3" s="20" t="inlineStr">
        <is>
          <t>언어</t>
        </is>
      </c>
      <c r="D3" s="20" t="inlineStr">
        <is>
          <t>수리</t>
        </is>
      </c>
      <c r="E3" s="20" t="inlineStr">
        <is>
          <t>외국어</t>
        </is>
      </c>
    </row>
    <row r="4">
      <c r="A4" s="20" t="n">
        <v>1</v>
      </c>
      <c r="B4" s="20" t="inlineStr">
        <is>
          <t>김수진</t>
        </is>
      </c>
      <c r="C4" s="20" t="n">
        <v>88</v>
      </c>
      <c r="D4" s="20" t="n">
        <v>70</v>
      </c>
      <c r="E4" s="20" t="n">
        <v>87</v>
      </c>
    </row>
    <row r="5">
      <c r="A5" s="20" t="n">
        <v>2</v>
      </c>
      <c r="B5" s="20" t="inlineStr">
        <is>
          <t>김현우</t>
        </is>
      </c>
      <c r="C5" s="20" t="n">
        <v>78</v>
      </c>
      <c r="D5" s="20" t="n">
        <v>86</v>
      </c>
      <c r="E5" s="20" t="n">
        <v>82</v>
      </c>
    </row>
    <row r="6">
      <c r="A6" s="20" t="n">
        <v>3</v>
      </c>
      <c r="B6" s="20" t="inlineStr">
        <is>
          <t>오현식</t>
        </is>
      </c>
      <c r="C6" s="20" t="n">
        <v>88</v>
      </c>
      <c r="D6" s="20" t="n">
        <v>97</v>
      </c>
      <c r="E6" s="20" t="n">
        <v>94</v>
      </c>
    </row>
    <row r="7">
      <c r="A7" s="20" t="n">
        <v>4</v>
      </c>
      <c r="B7" s="20" t="inlineStr">
        <is>
          <t>이우진</t>
        </is>
      </c>
      <c r="C7" s="20" t="n">
        <v>87</v>
      </c>
      <c r="D7" s="20" t="n">
        <v>91</v>
      </c>
      <c r="E7" s="20" t="n">
        <v>92</v>
      </c>
    </row>
    <row r="8">
      <c r="A8" s="20" t="n">
        <v>5</v>
      </c>
      <c r="B8" s="20" t="inlineStr">
        <is>
          <t>임진규</t>
        </is>
      </c>
      <c r="C8" s="20" t="n">
        <v>93</v>
      </c>
      <c r="D8" s="20" t="n">
        <v>84</v>
      </c>
      <c r="E8" s="20" t="n">
        <v>87</v>
      </c>
    </row>
    <row r="9">
      <c r="A9" s="20" t="n">
        <v>6</v>
      </c>
      <c r="B9" s="20" t="inlineStr">
        <is>
          <t>진성욱</t>
        </is>
      </c>
      <c r="C9" s="20" t="n">
        <v>97</v>
      </c>
      <c r="D9" s="20" t="n">
        <v>95</v>
      </c>
      <c r="E9" s="20" t="n">
        <v>82</v>
      </c>
    </row>
    <row r="10">
      <c r="A10" s="20" t="n">
        <v>7</v>
      </c>
      <c r="B10" s="20" t="inlineStr">
        <is>
          <t>최은지</t>
        </is>
      </c>
      <c r="C10" s="20" t="n">
        <v>86</v>
      </c>
      <c r="D10" s="20" t="n">
        <v>93</v>
      </c>
      <c r="E10" s="20" t="n">
        <v>93</v>
      </c>
    </row>
    <row r="11">
      <c r="A11" s="20" t="n">
        <v>8</v>
      </c>
      <c r="B11" s="20" t="inlineStr">
        <is>
          <t>최현주</t>
        </is>
      </c>
      <c r="C11" s="20" t="n">
        <v>81</v>
      </c>
      <c r="D11" s="20" t="n">
        <v>71</v>
      </c>
      <c r="E11" s="20" t="n">
        <v>91</v>
      </c>
    </row>
    <row r="12">
      <c r="A12" s="20" t="n">
        <v>9</v>
      </c>
      <c r="B12" s="20" t="inlineStr">
        <is>
          <t>표하리</t>
        </is>
      </c>
      <c r="C12" s="20" t="n">
        <v>78</v>
      </c>
      <c r="D12" s="20" t="n">
        <v>89</v>
      </c>
      <c r="E12" s="20" t="n">
        <v>78</v>
      </c>
    </row>
    <row r="13">
      <c r="A13" s="20" t="n">
        <v>10</v>
      </c>
      <c r="B13" s="20" t="inlineStr">
        <is>
          <t>하은주</t>
        </is>
      </c>
      <c r="C13" s="20" t="n">
        <v>84</v>
      </c>
      <c r="D13" s="20" t="n">
        <v>78</v>
      </c>
      <c r="E13" s="20" t="n">
        <v>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32"/>
  <sheetViews>
    <sheetView topLeftCell="A4" zoomScale="145" zoomScaleNormal="145" workbookViewId="0">
      <selection activeCell="C22" sqref="C22:D22"/>
    </sheetView>
  </sheetViews>
  <sheetFormatPr baseColWidth="8" defaultRowHeight="16.5"/>
  <cols>
    <col width="9.625" bestFit="1" customWidth="1" style="43" min="2" max="2"/>
    <col width="10.75" bestFit="1" customWidth="1" style="43" min="7" max="11"/>
  </cols>
  <sheetData>
    <row r="1">
      <c r="A1" s="0" t="inlineStr">
        <is>
          <t xml:space="preserve">[표1] 품질검사현황 </t>
        </is>
      </c>
      <c r="F1" s="0" t="inlineStr">
        <is>
          <t>[표2] 월급 지급 현황</t>
        </is>
      </c>
    </row>
    <row r="2">
      <c r="A2" s="38" t="inlineStr">
        <is>
          <t>코드명</t>
        </is>
      </c>
      <c r="B2" s="38" t="inlineStr">
        <is>
          <t>검사일자</t>
        </is>
      </c>
      <c r="C2" s="38" t="inlineStr">
        <is>
          <t>검사결과</t>
        </is>
      </c>
      <c r="D2" s="38" t="inlineStr">
        <is>
          <t>품질판정</t>
        </is>
      </c>
      <c r="F2" s="38" t="inlineStr">
        <is>
          <t>사번</t>
        </is>
      </c>
      <c r="G2" s="38" t="inlineStr">
        <is>
          <t>직급</t>
        </is>
      </c>
      <c r="H2" s="38" t="inlineStr">
        <is>
          <t>수당</t>
        </is>
      </c>
      <c r="I2" s="38" t="inlineStr">
        <is>
          <t>월급</t>
        </is>
      </c>
    </row>
    <row r="3">
      <c r="A3" s="20" t="inlineStr">
        <is>
          <t>AD-129</t>
        </is>
      </c>
      <c r="B3" s="44" t="n">
        <v>44502</v>
      </c>
      <c r="C3" s="20" t="inlineStr">
        <is>
          <t>KS-121</t>
        </is>
      </c>
      <c r="D3" s="20" t="n"/>
      <c r="F3" s="12" t="n">
        <v>100982</v>
      </c>
      <c r="G3" s="20" t="inlineStr">
        <is>
          <t>9급</t>
        </is>
      </c>
      <c r="H3" s="45" t="n">
        <v>218000</v>
      </c>
      <c r="I3" s="46" t="n"/>
    </row>
    <row r="4">
      <c r="A4" s="20" t="inlineStr">
        <is>
          <t>AS-198</t>
        </is>
      </c>
      <c r="B4" s="44" t="n">
        <v>44502</v>
      </c>
      <c r="C4" s="20" t="inlineStr">
        <is>
          <t>KS-221</t>
        </is>
      </c>
      <c r="D4" s="20" t="n"/>
      <c r="F4" s="12" t="n">
        <v>100877</v>
      </c>
      <c r="G4" s="20" t="inlineStr">
        <is>
          <t>8급</t>
        </is>
      </c>
      <c r="H4" s="45" t="n">
        <v>341000</v>
      </c>
      <c r="I4" s="46" t="n"/>
    </row>
    <row r="5">
      <c r="A5" s="20" t="inlineStr">
        <is>
          <t>AS-188</t>
        </is>
      </c>
      <c r="B5" s="44" t="n">
        <v>44502</v>
      </c>
      <c r="C5" s="20" t="inlineStr">
        <is>
          <t>KS-521</t>
        </is>
      </c>
      <c r="D5" s="20" t="n"/>
      <c r="F5" s="12" t="n">
        <v>200118</v>
      </c>
      <c r="G5" s="20" t="inlineStr">
        <is>
          <t>7급</t>
        </is>
      </c>
      <c r="H5" s="45" t="n">
        <v>550000</v>
      </c>
      <c r="I5" s="46" t="n"/>
    </row>
    <row r="6">
      <c r="A6" s="20" t="inlineStr">
        <is>
          <t>AD-130</t>
        </is>
      </c>
      <c r="B6" s="44" t="n">
        <v>44502</v>
      </c>
      <c r="C6" s="20" t="inlineStr">
        <is>
          <t>KS-221</t>
        </is>
      </c>
      <c r="D6" s="20" t="n"/>
      <c r="F6" s="12" t="n">
        <v>200119</v>
      </c>
      <c r="G6" s="20" t="inlineStr">
        <is>
          <t>7급</t>
        </is>
      </c>
      <c r="H6" s="45" t="n">
        <v>438000</v>
      </c>
      <c r="I6" s="46" t="n"/>
    </row>
    <row r="7">
      <c r="A7" s="20" t="inlineStr">
        <is>
          <t>AD-198</t>
        </is>
      </c>
      <c r="B7" s="44" t="n">
        <v>44502</v>
      </c>
      <c r="C7" s="20" t="inlineStr">
        <is>
          <t>KS-122</t>
        </is>
      </c>
      <c r="D7" s="20" t="n"/>
      <c r="F7" s="12" t="n">
        <v>210179</v>
      </c>
      <c r="G7" s="20" t="inlineStr">
        <is>
          <t>6급</t>
        </is>
      </c>
      <c r="H7" s="45" t="n">
        <v>300000</v>
      </c>
      <c r="I7" s="46" t="n"/>
    </row>
    <row r="8">
      <c r="A8" s="20" t="inlineStr">
        <is>
          <t>AS-198</t>
        </is>
      </c>
      <c r="B8" s="44" t="n">
        <v>44502</v>
      </c>
      <c r="C8" s="20" t="inlineStr">
        <is>
          <t>KS-322</t>
        </is>
      </c>
      <c r="D8" s="20" t="n"/>
      <c r="F8" s="12" t="n">
        <v>219166</v>
      </c>
      <c r="G8" s="20" t="inlineStr">
        <is>
          <t>5급</t>
        </is>
      </c>
      <c r="H8" s="45" t="n">
        <v>634000</v>
      </c>
      <c r="I8" s="46" t="n"/>
    </row>
    <row r="10">
      <c r="A10" s="35" t="inlineStr">
        <is>
          <t>[표3] 관리비 현황</t>
        </is>
      </c>
      <c r="F10" s="0" t="inlineStr">
        <is>
          <t>&lt;기본급표&gt;</t>
        </is>
      </c>
    </row>
    <row r="11">
      <c r="A11" s="38" t="inlineStr">
        <is>
          <t>사용자명</t>
        </is>
      </c>
      <c r="B11" s="38" t="inlineStr">
        <is>
          <t>구분</t>
        </is>
      </c>
      <c r="C11" s="38" t="inlineStr">
        <is>
          <t>사용량</t>
        </is>
      </c>
      <c r="D11" s="38" t="inlineStr">
        <is>
          <t>수도요금</t>
        </is>
      </c>
      <c r="F11" s="20" t="inlineStr">
        <is>
          <t>직급</t>
        </is>
      </c>
      <c r="G11" s="20" t="inlineStr">
        <is>
          <t>9급</t>
        </is>
      </c>
      <c r="H11" s="20" t="inlineStr">
        <is>
          <t>8급</t>
        </is>
      </c>
      <c r="I11" s="20" t="inlineStr">
        <is>
          <t>7급</t>
        </is>
      </c>
      <c r="J11" s="20" t="inlineStr">
        <is>
          <t>6급</t>
        </is>
      </c>
      <c r="K11" s="20" t="inlineStr">
        <is>
          <t>5급</t>
        </is>
      </c>
    </row>
    <row r="12">
      <c r="A12" s="20" t="inlineStr">
        <is>
          <t>곽도윤</t>
        </is>
      </c>
      <c r="B12" s="20" t="inlineStr">
        <is>
          <t>101동</t>
        </is>
      </c>
      <c r="C12" s="20" t="n">
        <v>50</v>
      </c>
      <c r="D12" s="45">
        <f>C12*890</f>
        <v/>
      </c>
      <c r="F12" s="20" t="inlineStr">
        <is>
          <t>기본급</t>
        </is>
      </c>
      <c r="G12" s="47" t="n">
        <v>1890000</v>
      </c>
      <c r="H12" s="47" t="n">
        <v>2190000</v>
      </c>
      <c r="I12" s="47" t="n">
        <v>2580000</v>
      </c>
      <c r="J12" s="47" t="n">
        <v>2870000</v>
      </c>
      <c r="K12" s="47" t="n">
        <v>3150000</v>
      </c>
    </row>
    <row r="13">
      <c r="A13" s="20" t="inlineStr">
        <is>
          <t>권아름</t>
        </is>
      </c>
      <c r="B13" s="20" t="inlineStr">
        <is>
          <t>104동</t>
        </is>
      </c>
      <c r="C13" s="20" t="n">
        <v>21</v>
      </c>
      <c r="D13" s="45">
        <f>C13*890</f>
        <v/>
      </c>
    </row>
    <row r="14">
      <c r="A14" s="20" t="inlineStr">
        <is>
          <t>김지영</t>
        </is>
      </c>
      <c r="B14" s="20" t="inlineStr">
        <is>
          <t>102동</t>
        </is>
      </c>
      <c r="C14" s="20" t="n">
        <v>19</v>
      </c>
      <c r="D14" s="45">
        <f>C14*890</f>
        <v/>
      </c>
    </row>
    <row r="15">
      <c r="A15" s="20" t="inlineStr">
        <is>
          <t>김수현</t>
        </is>
      </c>
      <c r="B15" s="20" t="inlineStr">
        <is>
          <t>201동</t>
        </is>
      </c>
      <c r="C15" s="20" t="n">
        <v>45</v>
      </c>
      <c r="D15" s="45">
        <f>C15*890</f>
        <v/>
      </c>
      <c r="F15" s="0" t="inlineStr">
        <is>
          <t xml:space="preserve">[표4] 모의고사 점수 </t>
        </is>
      </c>
    </row>
    <row r="16">
      <c r="A16" s="20" t="inlineStr">
        <is>
          <t>오은정</t>
        </is>
      </c>
      <c r="B16" s="20" t="inlineStr">
        <is>
          <t>101동</t>
        </is>
      </c>
      <c r="C16" s="20" t="n">
        <v>37</v>
      </c>
      <c r="D16" s="45">
        <f>C16*890</f>
        <v/>
      </c>
      <c r="F16" s="38" t="inlineStr">
        <is>
          <t>성명</t>
        </is>
      </c>
      <c r="G16" s="38" t="inlineStr">
        <is>
          <t>언어</t>
        </is>
      </c>
      <c r="H16" s="38" t="inlineStr">
        <is>
          <t>수리</t>
        </is>
      </c>
      <c r="I16" s="38" t="inlineStr">
        <is>
          <t>외국어</t>
        </is>
      </c>
      <c r="J16" s="38" t="inlineStr">
        <is>
          <t xml:space="preserve">비고 </t>
        </is>
      </c>
    </row>
    <row r="17">
      <c r="A17" s="20" t="inlineStr">
        <is>
          <t>이후동</t>
        </is>
      </c>
      <c r="B17" s="20" t="inlineStr">
        <is>
          <t>201동</t>
        </is>
      </c>
      <c r="C17" s="20" t="n">
        <v>24</v>
      </c>
      <c r="D17" s="45">
        <f>C17*890</f>
        <v/>
      </c>
      <c r="F17" s="20" t="inlineStr">
        <is>
          <t>권혁수</t>
        </is>
      </c>
      <c r="G17" s="20" t="n">
        <v>88</v>
      </c>
      <c r="H17" s="20" t="n">
        <v>90</v>
      </c>
      <c r="I17" s="20" t="n">
        <v>76</v>
      </c>
      <c r="J17" s="20" t="n"/>
    </row>
    <row r="18">
      <c r="A18" s="20" t="inlineStr">
        <is>
          <t>최윤지</t>
        </is>
      </c>
      <c r="B18" s="20" t="inlineStr">
        <is>
          <t>202동</t>
        </is>
      </c>
      <c r="C18" s="20" t="n">
        <v>12</v>
      </c>
      <c r="D18" s="45">
        <f>C18*890</f>
        <v/>
      </c>
      <c r="F18" s="20" t="inlineStr">
        <is>
          <t>김은주</t>
        </is>
      </c>
      <c r="G18" s="20" t="n">
        <v>87</v>
      </c>
      <c r="H18" s="20" t="n">
        <v>89</v>
      </c>
      <c r="I18" s="20" t="n">
        <v>78</v>
      </c>
      <c r="J18" s="20" t="n"/>
    </row>
    <row r="19">
      <c r="A19" s="20" t="inlineStr">
        <is>
          <t>최은수</t>
        </is>
      </c>
      <c r="B19" s="20" t="inlineStr">
        <is>
          <t>201동</t>
        </is>
      </c>
      <c r="C19" s="20" t="n">
        <v>21</v>
      </c>
      <c r="D19" s="45">
        <f>C19*890</f>
        <v/>
      </c>
      <c r="F19" s="20" t="inlineStr">
        <is>
          <t>오정은</t>
        </is>
      </c>
      <c r="G19" s="20" t="n">
        <v>86</v>
      </c>
      <c r="H19" s="20" t="n">
        <v>65</v>
      </c>
      <c r="I19" s="20" t="n">
        <v>87</v>
      </c>
      <c r="J19" s="20" t="n"/>
    </row>
    <row r="20">
      <c r="F20" s="20" t="inlineStr">
        <is>
          <t>이찬우</t>
        </is>
      </c>
      <c r="G20" s="20" t="n">
        <v>72</v>
      </c>
      <c r="H20" s="20" t="n">
        <v>98</v>
      </c>
      <c r="I20" s="20" t="n">
        <v>98</v>
      </c>
      <c r="J20" s="20" t="n"/>
    </row>
    <row r="21">
      <c r="B21" s="38" t="n"/>
      <c r="C21" s="38" t="inlineStr">
        <is>
          <t>201동 수도요금 평균</t>
        </is>
      </c>
      <c r="D21" s="48" t="n"/>
      <c r="F21" s="20" t="inlineStr">
        <is>
          <t>이현우</t>
        </is>
      </c>
      <c r="G21" s="20" t="n">
        <v>97</v>
      </c>
      <c r="H21" s="20" t="n">
        <v>89</v>
      </c>
      <c r="I21" s="20" t="n">
        <v>76</v>
      </c>
      <c r="J21" s="20" t="n"/>
    </row>
    <row r="22">
      <c r="B22" s="20" t="n"/>
      <c r="C22" s="47" t="n"/>
      <c r="D22" s="48" t="n"/>
      <c r="F22" s="20" t="inlineStr">
        <is>
          <t>임은정</t>
        </is>
      </c>
      <c r="G22" s="20" t="n">
        <v>91</v>
      </c>
      <c r="H22" s="20" t="n">
        <v>71</v>
      </c>
      <c r="I22" s="20" t="n">
        <v>87</v>
      </c>
      <c r="J22" s="20" t="n"/>
    </row>
    <row r="23">
      <c r="F23" s="20" t="inlineStr">
        <is>
          <t>하도훈</t>
        </is>
      </c>
      <c r="G23" s="20" t="n">
        <v>87</v>
      </c>
      <c r="H23" s="20" t="n">
        <v>69</v>
      </c>
      <c r="I23" s="20" t="n">
        <v>81</v>
      </c>
      <c r="J23" s="20" t="n"/>
    </row>
    <row r="25">
      <c r="A25" s="0" t="inlineStr">
        <is>
          <t>[표5] 신입사원 모집 현황</t>
        </is>
      </c>
    </row>
    <row r="26">
      <c r="A26" s="38" t="inlineStr">
        <is>
          <t xml:space="preserve">지원번호 </t>
        </is>
      </c>
      <c r="B26" s="38" t="inlineStr">
        <is>
          <t>성명</t>
        </is>
      </c>
      <c r="C26" s="38" t="inlineStr">
        <is>
          <t>지원분야</t>
        </is>
      </c>
    </row>
    <row r="27">
      <c r="A27" s="20" t="inlineStr">
        <is>
          <t>E-1139</t>
        </is>
      </c>
      <c r="B27" s="20" t="inlineStr">
        <is>
          <t>우현수</t>
        </is>
      </c>
      <c r="C27" s="20" t="n"/>
    </row>
    <row r="28">
      <c r="A28" s="20" t="inlineStr">
        <is>
          <t>M-2178</t>
        </is>
      </c>
      <c r="B28" s="20" t="inlineStr">
        <is>
          <t>이도현</t>
        </is>
      </c>
      <c r="C28" s="20" t="n"/>
    </row>
    <row r="29">
      <c r="A29" s="20" t="inlineStr">
        <is>
          <t>P-3318</t>
        </is>
      </c>
      <c r="B29" s="20" t="inlineStr">
        <is>
          <t>임주혁</t>
        </is>
      </c>
      <c r="C29" s="20" t="n"/>
    </row>
    <row r="30">
      <c r="A30" s="20" t="inlineStr">
        <is>
          <t>E-1197</t>
        </is>
      </c>
      <c r="B30" s="20" t="inlineStr">
        <is>
          <t>최현규</t>
        </is>
      </c>
      <c r="C30" s="20" t="n"/>
    </row>
    <row r="31">
      <c r="A31" s="20" t="inlineStr">
        <is>
          <t>E-1173</t>
        </is>
      </c>
      <c r="B31" s="20" t="inlineStr">
        <is>
          <t>최도식</t>
        </is>
      </c>
      <c r="C31" s="20" t="n"/>
    </row>
    <row r="32">
      <c r="A32" s="20" t="inlineStr">
        <is>
          <t>P-3238</t>
        </is>
      </c>
      <c r="B32" s="20" t="inlineStr">
        <is>
          <t>한수민</t>
        </is>
      </c>
      <c r="C32" s="20" t="n"/>
    </row>
  </sheetData>
  <mergeCells count="2">
    <mergeCell ref="C22:D22"/>
    <mergeCell ref="C21:D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1"/>
  <sheetViews>
    <sheetView zoomScale="175" zoomScaleNormal="175" workbookViewId="0">
      <selection activeCell="H16" sqref="H16"/>
    </sheetView>
  </sheetViews>
  <sheetFormatPr baseColWidth="8" defaultRowHeight="16.5"/>
  <cols>
    <col width="5.625" customWidth="1" style="43" min="1" max="1"/>
    <col width="5.125" bestFit="1" customWidth="1" style="43" min="2" max="2"/>
    <col width="11.25" bestFit="1" customWidth="1" style="43" min="3" max="3"/>
    <col width="9.25" bestFit="1" customWidth="1" style="43" min="4" max="5"/>
    <col width="7.375" bestFit="1" customWidth="1" style="43" min="6" max="6"/>
    <col width="9.25" bestFit="1" customWidth="1" style="43" min="7" max="7"/>
    <col width="10.375" bestFit="1" customWidth="1" style="43" min="8" max="8"/>
  </cols>
  <sheetData>
    <row r="1" ht="26.25" customHeight="1" s="43">
      <c r="A1" s="40" t="inlineStr">
        <is>
          <t>빌라 관리비 현황</t>
        </is>
      </c>
    </row>
    <row r="3">
      <c r="A3" s="38" t="inlineStr">
        <is>
          <t>동</t>
        </is>
      </c>
      <c r="B3" s="38" t="inlineStr">
        <is>
          <t>호</t>
        </is>
      </c>
      <c r="C3" s="38" t="inlineStr">
        <is>
          <t>일반관리비</t>
        </is>
      </c>
      <c r="D3" s="38" t="inlineStr">
        <is>
          <t>경비비</t>
        </is>
      </c>
      <c r="E3" s="38" t="inlineStr">
        <is>
          <t>청소비</t>
        </is>
      </c>
      <c r="F3" s="38" t="inlineStr">
        <is>
          <t>소독비</t>
        </is>
      </c>
      <c r="G3" s="38" t="inlineStr">
        <is>
          <t>전기료</t>
        </is>
      </c>
      <c r="H3" s="38" t="inlineStr">
        <is>
          <t>총액</t>
        </is>
      </c>
    </row>
    <row r="4">
      <c r="A4" s="20" t="inlineStr">
        <is>
          <t>가동</t>
        </is>
      </c>
      <c r="B4" s="20" t="n">
        <v>101</v>
      </c>
      <c r="C4" s="45" t="n">
        <v>28810</v>
      </c>
      <c r="D4" s="45" t="n">
        <v>21300</v>
      </c>
      <c r="E4" s="45" t="n">
        <v>17000</v>
      </c>
      <c r="F4" s="45" t="n">
        <v>500</v>
      </c>
      <c r="G4" s="45" t="n">
        <v>41200</v>
      </c>
      <c r="H4" s="45">
        <f>SUM(C4:G4)</f>
        <v/>
      </c>
    </row>
    <row r="5">
      <c r="A5" s="20" t="inlineStr">
        <is>
          <t>가동</t>
        </is>
      </c>
      <c r="B5" s="20" t="n">
        <v>102</v>
      </c>
      <c r="C5" s="45" t="n">
        <v>28810</v>
      </c>
      <c r="D5" s="45" t="n">
        <v>21300</v>
      </c>
      <c r="E5" s="45" t="n">
        <v>17000</v>
      </c>
      <c r="F5" s="45" t="n">
        <v>500</v>
      </c>
      <c r="G5" s="45" t="n">
        <v>31290</v>
      </c>
      <c r="H5" s="45">
        <f>SUM(C5:G5)</f>
        <v/>
      </c>
    </row>
    <row r="6">
      <c r="A6" s="20" t="inlineStr">
        <is>
          <t>가동</t>
        </is>
      </c>
      <c r="B6" s="20" t="n">
        <v>201</v>
      </c>
      <c r="C6" s="45" t="n">
        <v>28810</v>
      </c>
      <c r="D6" s="45" t="n">
        <v>21300</v>
      </c>
      <c r="E6" s="45" t="n">
        <v>17000</v>
      </c>
      <c r="F6" s="45" t="n">
        <v>500</v>
      </c>
      <c r="G6" s="45" t="n">
        <v>18790</v>
      </c>
      <c r="H6" s="45">
        <f>SUM(C6:G6)</f>
        <v/>
      </c>
    </row>
    <row r="7">
      <c r="A7" s="20" t="inlineStr">
        <is>
          <t>가동</t>
        </is>
      </c>
      <c r="B7" s="20" t="n">
        <v>202</v>
      </c>
      <c r="C7" s="45" t="n">
        <v>28810</v>
      </c>
      <c r="D7" s="45" t="n">
        <v>21300</v>
      </c>
      <c r="E7" s="45" t="n">
        <v>17000</v>
      </c>
      <c r="F7" s="45" t="n">
        <v>500</v>
      </c>
      <c r="G7" s="45" t="n">
        <v>38100</v>
      </c>
      <c r="H7" s="45">
        <f>SUM(C7:G7)</f>
        <v/>
      </c>
    </row>
    <row r="8">
      <c r="A8" s="20" t="inlineStr">
        <is>
          <t>가동</t>
        </is>
      </c>
      <c r="B8" s="20" t="n">
        <v>301</v>
      </c>
      <c r="C8" s="45" t="n">
        <v>28810</v>
      </c>
      <c r="D8" s="45" t="n">
        <v>21300</v>
      </c>
      <c r="E8" s="45" t="n">
        <v>17000</v>
      </c>
      <c r="F8" s="45" t="n">
        <v>500</v>
      </c>
      <c r="G8" s="45" t="n">
        <v>29180</v>
      </c>
      <c r="H8" s="45">
        <f>SUM(C8:G8)</f>
        <v/>
      </c>
    </row>
    <row r="9">
      <c r="A9" s="20" t="inlineStr">
        <is>
          <t>가동</t>
        </is>
      </c>
      <c r="B9" s="20" t="n">
        <v>302</v>
      </c>
      <c r="C9" s="45" t="n">
        <v>28810</v>
      </c>
      <c r="D9" s="45" t="n">
        <v>21300</v>
      </c>
      <c r="E9" s="45" t="n">
        <v>17000</v>
      </c>
      <c r="F9" s="45" t="n">
        <v>500</v>
      </c>
      <c r="G9" s="45" t="n">
        <v>38700</v>
      </c>
      <c r="H9" s="45">
        <f>SUM(C9:G9)</f>
        <v/>
      </c>
    </row>
    <row r="10">
      <c r="A10" s="20" t="inlineStr">
        <is>
          <t>나동</t>
        </is>
      </c>
      <c r="B10" s="20" t="n">
        <v>101</v>
      </c>
      <c r="C10" s="45" t="n">
        <v>21300</v>
      </c>
      <c r="D10" s="45" t="n">
        <v>21300</v>
      </c>
      <c r="E10" s="45" t="n">
        <v>17000</v>
      </c>
      <c r="F10" s="45" t="n">
        <v>500</v>
      </c>
      <c r="G10" s="45" t="n">
        <v>29800</v>
      </c>
      <c r="H10" s="45">
        <f>SUM(C10:G10)</f>
        <v/>
      </c>
    </row>
    <row r="11">
      <c r="A11" s="20" t="inlineStr">
        <is>
          <t>나동</t>
        </is>
      </c>
      <c r="B11" s="20" t="n">
        <v>102</v>
      </c>
      <c r="C11" s="45" t="n">
        <v>21300</v>
      </c>
      <c r="D11" s="45" t="n">
        <v>21300</v>
      </c>
      <c r="E11" s="45" t="n">
        <v>17000</v>
      </c>
      <c r="F11" s="45" t="n">
        <v>500</v>
      </c>
      <c r="G11" s="45" t="n">
        <v>12900</v>
      </c>
      <c r="H11" s="45">
        <f>SUM(C11:G11)</f>
        <v/>
      </c>
    </row>
    <row r="12">
      <c r="A12" s="20" t="inlineStr">
        <is>
          <t>나동</t>
        </is>
      </c>
      <c r="B12" s="20" t="n">
        <v>201</v>
      </c>
      <c r="C12" s="45" t="n">
        <v>21300</v>
      </c>
      <c r="D12" s="45" t="n">
        <v>21300</v>
      </c>
      <c r="E12" s="45" t="n">
        <v>17000</v>
      </c>
      <c r="F12" s="45" t="n">
        <v>500</v>
      </c>
      <c r="G12" s="45" t="n">
        <v>38300</v>
      </c>
      <c r="H12" s="45">
        <f>SUM(C12:G12)</f>
        <v/>
      </c>
    </row>
    <row r="13">
      <c r="A13" s="20" t="inlineStr">
        <is>
          <t>나동</t>
        </is>
      </c>
      <c r="B13" s="20" t="n">
        <v>202</v>
      </c>
      <c r="C13" s="45" t="n">
        <v>21300</v>
      </c>
      <c r="D13" s="45" t="n">
        <v>21300</v>
      </c>
      <c r="E13" s="45" t="n">
        <v>17000</v>
      </c>
      <c r="F13" s="45" t="n">
        <v>500</v>
      </c>
      <c r="G13" s="45" t="n">
        <v>29800</v>
      </c>
      <c r="H13" s="45">
        <f>SUM(C13:G13)</f>
        <v/>
      </c>
    </row>
    <row r="14">
      <c r="A14" s="20" t="inlineStr">
        <is>
          <t>나동</t>
        </is>
      </c>
      <c r="B14" s="20" t="n">
        <v>301</v>
      </c>
      <c r="C14" s="45" t="n">
        <v>21300</v>
      </c>
      <c r="D14" s="45" t="n">
        <v>21300</v>
      </c>
      <c r="E14" s="45" t="n">
        <v>17000</v>
      </c>
      <c r="F14" s="45" t="n">
        <v>500</v>
      </c>
      <c r="G14" s="45" t="n">
        <v>31500</v>
      </c>
      <c r="H14" s="45">
        <f>SUM(C14:G14)</f>
        <v/>
      </c>
    </row>
    <row r="15">
      <c r="A15" s="20" t="inlineStr">
        <is>
          <t>나동</t>
        </is>
      </c>
      <c r="B15" s="20" t="n">
        <v>302</v>
      </c>
      <c r="C15" s="45" t="n">
        <v>21300</v>
      </c>
      <c r="D15" s="45" t="n">
        <v>21300</v>
      </c>
      <c r="E15" s="45" t="n">
        <v>17000</v>
      </c>
      <c r="F15" s="45" t="n">
        <v>500</v>
      </c>
      <c r="G15" s="45" t="n">
        <v>32100</v>
      </c>
      <c r="H15" s="45">
        <f>SUM(C15:G15)</f>
        <v/>
      </c>
    </row>
    <row r="16">
      <c r="A16" s="20" t="inlineStr">
        <is>
          <t>다동</t>
        </is>
      </c>
      <c r="B16" s="20" t="n">
        <v>101</v>
      </c>
      <c r="C16" s="45" t="n">
        <v>26910</v>
      </c>
      <c r="D16" s="45" t="n">
        <v>21300</v>
      </c>
      <c r="E16" s="45" t="n">
        <v>17000</v>
      </c>
      <c r="F16" s="45" t="n">
        <v>500</v>
      </c>
      <c r="G16" s="45" t="n">
        <v>21000</v>
      </c>
      <c r="H16" s="45">
        <f>SUM(C16:G16)</f>
        <v/>
      </c>
    </row>
    <row r="17">
      <c r="A17" s="20" t="inlineStr">
        <is>
          <t>다동</t>
        </is>
      </c>
      <c r="B17" s="20" t="n">
        <v>102</v>
      </c>
      <c r="C17" s="45" t="n">
        <v>26910</v>
      </c>
      <c r="D17" s="45" t="n">
        <v>21300</v>
      </c>
      <c r="E17" s="45" t="n">
        <v>17000</v>
      </c>
      <c r="F17" s="45" t="n">
        <v>500</v>
      </c>
      <c r="G17" s="45" t="n">
        <v>25020</v>
      </c>
      <c r="H17" s="45">
        <f>SUM(C17:G17)</f>
        <v/>
      </c>
    </row>
    <row r="18">
      <c r="A18" s="20" t="inlineStr">
        <is>
          <t>다동</t>
        </is>
      </c>
      <c r="B18" s="20" t="n">
        <v>201</v>
      </c>
      <c r="C18" s="45" t="n">
        <v>26910</v>
      </c>
      <c r="D18" s="45" t="n">
        <v>21300</v>
      </c>
      <c r="E18" s="45" t="n">
        <v>17000</v>
      </c>
      <c r="F18" s="45" t="n">
        <v>500</v>
      </c>
      <c r="G18" s="45" t="n">
        <v>31100</v>
      </c>
      <c r="H18" s="45">
        <f>SUM(C18:G18)</f>
        <v/>
      </c>
    </row>
    <row r="19">
      <c r="A19" s="20" t="inlineStr">
        <is>
          <t>다동</t>
        </is>
      </c>
      <c r="B19" s="20" t="n">
        <v>202</v>
      </c>
      <c r="C19" s="45" t="n">
        <v>26910</v>
      </c>
      <c r="D19" s="45" t="n">
        <v>21300</v>
      </c>
      <c r="E19" s="45" t="n">
        <v>17000</v>
      </c>
      <c r="F19" s="45" t="n">
        <v>500</v>
      </c>
      <c r="G19" s="45" t="n">
        <v>12600</v>
      </c>
      <c r="H19" s="45">
        <f>SUM(C19:G19)</f>
        <v/>
      </c>
    </row>
    <row r="20">
      <c r="A20" s="20" t="inlineStr">
        <is>
          <t>다동</t>
        </is>
      </c>
      <c r="B20" s="20" t="n">
        <v>301</v>
      </c>
      <c r="C20" s="45" t="n">
        <v>26910</v>
      </c>
      <c r="D20" s="45" t="n">
        <v>21300</v>
      </c>
      <c r="E20" s="45" t="n">
        <v>17000</v>
      </c>
      <c r="F20" s="45" t="n">
        <v>500</v>
      </c>
      <c r="G20" s="45" t="n">
        <v>23160</v>
      </c>
      <c r="H20" s="45">
        <f>SUM(C20:G20)</f>
        <v/>
      </c>
    </row>
    <row r="21">
      <c r="A21" s="20" t="inlineStr">
        <is>
          <t>다동</t>
        </is>
      </c>
      <c r="B21" s="20" t="n">
        <v>302</v>
      </c>
      <c r="C21" s="45" t="n">
        <v>26910</v>
      </c>
      <c r="D21" s="45" t="n">
        <v>21300</v>
      </c>
      <c r="E21" s="45" t="n">
        <v>17000</v>
      </c>
      <c r="F21" s="45" t="n">
        <v>500</v>
      </c>
      <c r="G21" s="45" t="n">
        <v>23710</v>
      </c>
      <c r="H21" s="45">
        <f>SUM(C21:G21)</f>
        <v/>
      </c>
    </row>
  </sheetData>
  <mergeCells count="1">
    <mergeCell ref="A1:H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I20"/>
  <sheetViews>
    <sheetView zoomScale="190" zoomScaleNormal="190" workbookViewId="0">
      <selection activeCell="F3" sqref="F3"/>
    </sheetView>
  </sheetViews>
  <sheetFormatPr baseColWidth="8" defaultRowHeight="16.5"/>
  <cols>
    <col width="11.25" bestFit="1" customWidth="1" style="49" min="2" max="2"/>
    <col width="8.875" bestFit="1" customWidth="1" style="49" min="3" max="3"/>
    <col width="12.25" bestFit="1" customWidth="1" style="49" min="4" max="4"/>
    <col width="11.25" bestFit="1" customWidth="1" style="49" min="7" max="7"/>
    <col width="8.875" bestFit="1" customWidth="1" style="49" min="8" max="8"/>
    <col width="12.25" bestFit="1" customWidth="1" style="49" min="9" max="9"/>
  </cols>
  <sheetData>
    <row r="1">
      <c r="A1" s="0" t="inlineStr">
        <is>
          <t>[표1] 영등포점</t>
        </is>
      </c>
      <c r="F1" s="41" t="inlineStr">
        <is>
          <t>1월 가전제품 판매 현황</t>
        </is>
      </c>
      <c r="G1" s="50" t="n"/>
      <c r="H1" s="50" t="n"/>
      <c r="I1" s="50" t="n"/>
    </row>
    <row r="2">
      <c r="A2" s="21" t="inlineStr">
        <is>
          <t>구분</t>
        </is>
      </c>
      <c r="B2" s="51" t="inlineStr">
        <is>
          <t>판매가격</t>
        </is>
      </c>
      <c r="C2" s="51" t="inlineStr">
        <is>
          <t>판매수량</t>
        </is>
      </c>
      <c r="D2" s="51" t="inlineStr">
        <is>
          <t>판매액</t>
        </is>
      </c>
      <c r="F2" s="21" t="inlineStr">
        <is>
          <t>구분</t>
        </is>
      </c>
      <c r="G2" s="51" t="inlineStr">
        <is>
          <t>판매가격</t>
        </is>
      </c>
      <c r="H2" s="51" t="inlineStr">
        <is>
          <t>판매수량</t>
        </is>
      </c>
      <c r="I2" s="51" t="inlineStr">
        <is>
          <t>판매액</t>
        </is>
      </c>
    </row>
    <row r="3">
      <c r="A3" s="12" t="inlineStr">
        <is>
          <t>냉장고</t>
        </is>
      </c>
      <c r="B3" s="45" t="n">
        <v>3120000</v>
      </c>
      <c r="C3" s="45" t="n">
        <v>4</v>
      </c>
      <c r="D3" s="45">
        <f>B3*C3</f>
        <v/>
      </c>
      <c r="F3" s="12" t="inlineStr">
        <is>
          <t>냉장고</t>
        </is>
      </c>
      <c r="G3" s="45" t="n"/>
      <c r="H3" s="45" t="n"/>
      <c r="I3" s="45" t="n"/>
    </row>
    <row r="4">
      <c r="A4" s="12" t="inlineStr">
        <is>
          <t>세탁기</t>
        </is>
      </c>
      <c r="B4" s="45" t="n">
        <v>1249000</v>
      </c>
      <c r="C4" s="45" t="n">
        <v>20</v>
      </c>
      <c r="D4" s="45">
        <f>B4*C4</f>
        <v/>
      </c>
      <c r="F4" s="12" t="inlineStr">
        <is>
          <t>세탁기</t>
        </is>
      </c>
      <c r="G4" s="45" t="n"/>
      <c r="H4" s="45" t="n"/>
      <c r="I4" s="45" t="n"/>
    </row>
    <row r="5">
      <c r="A5" s="12" t="inlineStr">
        <is>
          <t>TV</t>
        </is>
      </c>
      <c r="B5" s="45" t="n">
        <v>2645000</v>
      </c>
      <c r="C5" s="45" t="n">
        <v>8</v>
      </c>
      <c r="D5" s="45">
        <f>B5*C5</f>
        <v/>
      </c>
      <c r="F5" s="12" t="inlineStr">
        <is>
          <t>TV</t>
        </is>
      </c>
      <c r="G5" s="45" t="n"/>
      <c r="H5" s="45" t="n"/>
      <c r="I5" s="45" t="n"/>
    </row>
    <row r="6">
      <c r="A6" s="12" t="inlineStr">
        <is>
          <t>전기밥솥</t>
        </is>
      </c>
      <c r="B6" s="45" t="n">
        <v>468000</v>
      </c>
      <c r="C6" s="45" t="n">
        <v>6</v>
      </c>
      <c r="D6" s="45">
        <f>B6*C6</f>
        <v/>
      </c>
      <c r="F6" s="12" t="inlineStr">
        <is>
          <t>전기밥솥</t>
        </is>
      </c>
      <c r="G6" s="45" t="n"/>
      <c r="H6" s="45" t="n"/>
      <c r="I6" s="45" t="n"/>
    </row>
    <row r="8">
      <c r="A8" s="0" t="inlineStr">
        <is>
          <t>[표2] 강남점</t>
        </is>
      </c>
    </row>
    <row r="9">
      <c r="A9" s="21" t="inlineStr">
        <is>
          <t>구분</t>
        </is>
      </c>
      <c r="B9" s="51" t="inlineStr">
        <is>
          <t>판매가격</t>
        </is>
      </c>
      <c r="C9" s="51" t="inlineStr">
        <is>
          <t>판매수량</t>
        </is>
      </c>
      <c r="D9" s="51" t="inlineStr">
        <is>
          <t>판매액</t>
        </is>
      </c>
    </row>
    <row r="10">
      <c r="A10" s="12" t="inlineStr">
        <is>
          <t>냉장고</t>
        </is>
      </c>
      <c r="B10" s="45" t="n">
        <v>2879000</v>
      </c>
      <c r="C10" s="45" t="n">
        <v>8</v>
      </c>
      <c r="D10" s="45">
        <f>B10*C10</f>
        <v/>
      </c>
    </row>
    <row r="11">
      <c r="A11" s="12" t="inlineStr">
        <is>
          <t>세탁기</t>
        </is>
      </c>
      <c r="B11" s="45" t="n">
        <v>1876000</v>
      </c>
      <c r="C11" s="45" t="n">
        <v>12</v>
      </c>
      <c r="D11" s="45">
        <f>B11*C11</f>
        <v/>
      </c>
    </row>
    <row r="12">
      <c r="A12" s="12" t="inlineStr">
        <is>
          <t>TV</t>
        </is>
      </c>
      <c r="B12" s="45" t="n">
        <v>1587900</v>
      </c>
      <c r="C12" s="45" t="n">
        <v>14</v>
      </c>
      <c r="D12" s="45">
        <f>B12*C12</f>
        <v/>
      </c>
    </row>
    <row r="13">
      <c r="A13" s="12" t="inlineStr">
        <is>
          <t>전기밥솥</t>
        </is>
      </c>
      <c r="B13" s="45" t="n">
        <v>643000</v>
      </c>
      <c r="C13" s="45" t="n">
        <v>4</v>
      </c>
      <c r="D13" s="45">
        <f>B13*C13</f>
        <v/>
      </c>
    </row>
    <row r="15">
      <c r="A15" s="0" t="inlineStr">
        <is>
          <t>[표1] 수원점</t>
        </is>
      </c>
    </row>
    <row r="16">
      <c r="A16" s="21" t="inlineStr">
        <is>
          <t>구분</t>
        </is>
      </c>
      <c r="B16" s="51" t="inlineStr">
        <is>
          <t>판매가격</t>
        </is>
      </c>
      <c r="C16" s="51" t="inlineStr">
        <is>
          <t>판매수량</t>
        </is>
      </c>
      <c r="D16" s="51" t="inlineStr">
        <is>
          <t>판매액</t>
        </is>
      </c>
    </row>
    <row r="17">
      <c r="A17" s="12" t="inlineStr">
        <is>
          <t>냉장고</t>
        </is>
      </c>
      <c r="B17" s="45" t="n">
        <v>2890000</v>
      </c>
      <c r="C17" s="45" t="n">
        <v>12</v>
      </c>
      <c r="D17" s="45">
        <f>B17*C17</f>
        <v/>
      </c>
    </row>
    <row r="18">
      <c r="A18" s="12" t="inlineStr">
        <is>
          <t>세탁기</t>
        </is>
      </c>
      <c r="B18" s="45" t="n">
        <v>1549000</v>
      </c>
      <c r="C18" s="45" t="n">
        <v>16</v>
      </c>
      <c r="D18" s="45">
        <f>B18*C18</f>
        <v/>
      </c>
    </row>
    <row r="19">
      <c r="A19" s="12" t="inlineStr">
        <is>
          <t>TV</t>
        </is>
      </c>
      <c r="B19" s="45" t="n">
        <v>2845000</v>
      </c>
      <c r="C19" s="45" t="n">
        <v>8</v>
      </c>
      <c r="D19" s="45">
        <f>B19*C19</f>
        <v/>
      </c>
    </row>
    <row r="20">
      <c r="A20" s="12" t="inlineStr">
        <is>
          <t>전기밥솥</t>
        </is>
      </c>
      <c r="B20" s="45" t="n">
        <v>541900</v>
      </c>
      <c r="C20" s="45" t="n">
        <v>12</v>
      </c>
      <c r="D20" s="45">
        <f>B20*C20</f>
        <v/>
      </c>
    </row>
  </sheetData>
  <mergeCells count="1">
    <mergeCell ref="F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F8"/>
  <sheetViews>
    <sheetView zoomScale="295" zoomScaleNormal="295" workbookViewId="0">
      <selection activeCell="F8" sqref="F8"/>
    </sheetView>
  </sheetViews>
  <sheetFormatPr baseColWidth="8" defaultRowHeight="16.5"/>
  <sheetData>
    <row r="1">
      <c r="A1" s="42" t="inlineStr">
        <is>
          <t>미술학원 등록현황</t>
        </is>
      </c>
    </row>
    <row r="2">
      <c r="E2" s="0" t="inlineStr">
        <is>
          <t>(단위:명)</t>
        </is>
      </c>
    </row>
    <row r="3">
      <c r="A3" s="20" t="inlineStr">
        <is>
          <t>구분</t>
        </is>
      </c>
      <c r="B3" s="20" t="inlineStr">
        <is>
          <t>20대</t>
        </is>
      </c>
      <c r="C3" s="20" t="inlineStr">
        <is>
          <t>30대</t>
        </is>
      </c>
      <c r="D3" s="20" t="inlineStr">
        <is>
          <t>40대</t>
        </is>
      </c>
      <c r="E3" s="20" t="inlineStr">
        <is>
          <t>총인원</t>
        </is>
      </c>
      <c r="F3" s="42" t="n"/>
    </row>
    <row r="4">
      <c r="A4" s="20" t="inlineStr">
        <is>
          <t>기초소묘</t>
        </is>
      </c>
      <c r="B4" s="20" t="n">
        <v>25</v>
      </c>
      <c r="C4" s="20" t="n">
        <v>17</v>
      </c>
      <c r="D4" s="20" t="n">
        <v>12</v>
      </c>
      <c r="E4" s="20">
        <f>SUM(B4:D4)</f>
        <v/>
      </c>
      <c r="F4" s="42" t="n"/>
    </row>
    <row r="5">
      <c r="A5" s="20" t="inlineStr">
        <is>
          <t>수채화</t>
        </is>
      </c>
      <c r="B5" s="20" t="n">
        <v>12</v>
      </c>
      <c r="C5" s="20" t="n">
        <v>31</v>
      </c>
      <c r="D5" s="20" t="n">
        <v>27</v>
      </c>
      <c r="E5" s="20">
        <f>SUM(B5:D5)</f>
        <v/>
      </c>
      <c r="F5" s="42" t="n"/>
    </row>
    <row r="6">
      <c r="A6" s="20" t="inlineStr">
        <is>
          <t>유화</t>
        </is>
      </c>
      <c r="B6" s="20" t="n">
        <v>23</v>
      </c>
      <c r="C6" s="20" t="n">
        <v>26</v>
      </c>
      <c r="D6" s="20" t="n">
        <v>23</v>
      </c>
      <c r="E6" s="20">
        <f>SUM(B6:D6)</f>
        <v/>
      </c>
      <c r="F6" s="42" t="n"/>
    </row>
    <row r="7">
      <c r="A7" s="20" t="inlineStr">
        <is>
          <t>드로잉</t>
        </is>
      </c>
      <c r="B7" s="20" t="n">
        <v>36</v>
      </c>
      <c r="C7" s="20" t="n">
        <v>21</v>
      </c>
      <c r="D7" s="20" t="n">
        <v>24</v>
      </c>
      <c r="E7" s="20">
        <f>SUM(B7:D7)</f>
        <v/>
      </c>
    </row>
    <row r="8">
      <c r="A8" s="20" t="inlineStr">
        <is>
          <t>평균</t>
        </is>
      </c>
      <c r="B8" s="47" t="n"/>
      <c r="C8" s="47" t="n"/>
      <c r="D8" s="47" t="n"/>
      <c r="E8" s="47" t="n"/>
    </row>
  </sheetData>
  <mergeCells count="1"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zoomScale="85" zoomScaleNormal="85" workbookViewId="0">
      <selection activeCell="Q19" sqref="Q19"/>
    </sheetView>
  </sheetViews>
  <sheetFormatPr baseColWidth="8" defaultRowHeight="16.5"/>
  <cols>
    <col width="11.375" customWidth="1" style="43" min="1" max="1"/>
    <col width="14.25" bestFit="1" customWidth="1" style="43" min="2" max="2"/>
    <col width="13.375" bestFit="1" customWidth="1" style="43" min="3" max="3"/>
    <col width="18" customWidth="1" style="43" min="4" max="4"/>
    <col width="16.25" customWidth="1" style="43" min="5" max="5"/>
    <col width="17.75" customWidth="1" style="43" min="6" max="6"/>
    <col width="14.25" customWidth="1" style="43" min="7" max="7"/>
    <col width="11.75" bestFit="1" customWidth="1" style="43" min="8" max="8"/>
    <col width="14.5" customWidth="1" style="43" min="9" max="9"/>
  </cols>
  <sheetData>
    <row r="1">
      <c r="A1" s="42" t="inlineStr">
        <is>
          <t>직업별 여가활동 유형</t>
        </is>
      </c>
    </row>
    <row r="3" ht="33" customHeight="1" s="43">
      <c r="A3" s="38" t="inlineStr">
        <is>
          <t>구분</t>
        </is>
      </c>
      <c r="B3" s="38" t="inlineStr">
        <is>
          <t>TV,비디오시청</t>
        </is>
      </c>
      <c r="C3" s="38" t="inlineStr">
        <is>
          <t>문화예술활동</t>
        </is>
      </c>
      <c r="D3" s="31" t="inlineStr">
        <is>
          <t>창작취미
(독서, 미술, 악기 등)</t>
        </is>
      </c>
      <c r="E3" s="38" t="inlineStr">
        <is>
          <t>운동경기관람</t>
        </is>
      </c>
      <c r="F3" s="31" t="inlineStr">
        <is>
          <t>운동
(축구, 테니스 등)</t>
        </is>
      </c>
      <c r="G3" s="38" t="inlineStr">
        <is>
          <t>여행야외나들이</t>
        </is>
      </c>
      <c r="H3" s="38" t="inlineStr">
        <is>
          <t>컴퓨터게임</t>
        </is>
      </c>
      <c r="I3" s="38" t="inlineStr">
        <is>
          <t>사회봉사활동</t>
        </is>
      </c>
      <c r="J3" s="38" t="inlineStr">
        <is>
          <t>종교활동</t>
        </is>
      </c>
      <c r="K3" s="38" t="inlineStr">
        <is>
          <t>휴식</t>
        </is>
      </c>
      <c r="L3" s="38" t="inlineStr">
        <is>
          <t>기타</t>
        </is>
      </c>
    </row>
    <row r="4">
      <c r="A4" s="20" t="inlineStr">
        <is>
          <t>전문관리직</t>
        </is>
      </c>
      <c r="B4" s="52" t="n">
        <v>34.7</v>
      </c>
      <c r="C4" s="52" t="n">
        <v>9.1</v>
      </c>
      <c r="D4" s="52" t="n">
        <v>4.8</v>
      </c>
      <c r="E4" s="52" t="n">
        <v>5.6</v>
      </c>
      <c r="F4" s="52" t="n">
        <v>9.6</v>
      </c>
      <c r="G4" s="52" t="n">
        <v>10.4</v>
      </c>
      <c r="H4" s="52" t="n">
        <v>3.6</v>
      </c>
      <c r="I4" s="52" t="n">
        <v>1</v>
      </c>
      <c r="J4" s="52" t="n">
        <v>9.199999999999999</v>
      </c>
      <c r="K4" s="52" t="n">
        <v>11.8</v>
      </c>
      <c r="L4" s="52" t="n">
        <v>0.1</v>
      </c>
      <c r="M4" s="53" t="n"/>
    </row>
    <row r="5">
      <c r="A5" s="20" t="inlineStr">
        <is>
          <t>사무직</t>
        </is>
      </c>
      <c r="B5" s="52" t="n">
        <v>40.3</v>
      </c>
      <c r="C5" s="52" t="n">
        <v>9.699999999999999</v>
      </c>
      <c r="D5" s="52" t="n">
        <v>4.1</v>
      </c>
      <c r="E5" s="52" t="n">
        <v>3.1</v>
      </c>
      <c r="F5" s="52" t="n">
        <v>6</v>
      </c>
      <c r="G5" s="52" t="n">
        <v>12.4</v>
      </c>
      <c r="H5" s="52" t="n">
        <v>7.3</v>
      </c>
      <c r="I5" s="52" t="n">
        <v>0.7</v>
      </c>
      <c r="J5" s="52" t="n">
        <v>6.5</v>
      </c>
      <c r="K5" s="52" t="n">
        <v>9.9</v>
      </c>
      <c r="L5" s="52" t="n">
        <v>0</v>
      </c>
      <c r="M5" s="53" t="n"/>
    </row>
    <row r="6">
      <c r="A6" s="20" t="inlineStr">
        <is>
          <t>서비스판매직</t>
        </is>
      </c>
      <c r="B6" s="52" t="n">
        <v>45.6</v>
      </c>
      <c r="C6" s="52" t="n">
        <v>5.9</v>
      </c>
      <c r="D6" s="52" t="n">
        <v>3.9</v>
      </c>
      <c r="E6" s="52" t="n">
        <v>2.6</v>
      </c>
      <c r="F6" s="52" t="n">
        <v>6.5</v>
      </c>
      <c r="G6" s="52" t="n">
        <v>9.300000000000001</v>
      </c>
      <c r="H6" s="52" t="n">
        <v>5.3</v>
      </c>
      <c r="I6" s="52" t="n">
        <v>1.2</v>
      </c>
      <c r="J6" s="52" t="n">
        <v>7.4</v>
      </c>
      <c r="K6" s="52" t="n">
        <v>12.2</v>
      </c>
      <c r="L6" s="52" t="n">
        <v>0.1</v>
      </c>
      <c r="M6" s="53" t="n"/>
    </row>
    <row r="7">
      <c r="A7" s="20" t="inlineStr">
        <is>
          <t>학생</t>
        </is>
      </c>
      <c r="B7" s="52" t="n">
        <v>33.8</v>
      </c>
      <c r="C7" s="52" t="n">
        <v>9.6</v>
      </c>
      <c r="D7" s="52" t="n">
        <v>5.6</v>
      </c>
      <c r="E7" s="52" t="n">
        <v>3.2</v>
      </c>
      <c r="F7" s="52" t="n">
        <v>6.6</v>
      </c>
      <c r="G7" s="52" t="n">
        <v>5.9</v>
      </c>
      <c r="H7" s="52" t="n">
        <v>20.8</v>
      </c>
      <c r="I7" s="52" t="n">
        <v>1.2</v>
      </c>
      <c r="J7" s="52" t="n">
        <v>6.6</v>
      </c>
      <c r="K7" s="52" t="n">
        <v>6.5</v>
      </c>
      <c r="L7" s="52" t="n">
        <v>0.2</v>
      </c>
      <c r="M7" s="53" t="n"/>
    </row>
    <row r="8">
      <c r="A8" s="20" t="inlineStr">
        <is>
          <t>주부</t>
        </is>
      </c>
      <c r="B8" s="52" t="n">
        <v>48.1</v>
      </c>
      <c r="C8" s="52" t="n">
        <v>5.9</v>
      </c>
      <c r="D8" s="52" t="n">
        <v>4.3</v>
      </c>
      <c r="E8" s="52" t="n">
        <v>1.6</v>
      </c>
      <c r="F8" s="52" t="n">
        <v>3.5</v>
      </c>
      <c r="G8" s="52" t="n">
        <v>10.2</v>
      </c>
      <c r="H8" s="52" t="n">
        <v>1.5</v>
      </c>
      <c r="I8" s="52" t="n">
        <v>1.6</v>
      </c>
      <c r="J8" s="52" t="n">
        <v>12</v>
      </c>
      <c r="K8" s="52" t="n">
        <v>11.2</v>
      </c>
      <c r="L8" s="52" t="n">
        <v>0.1</v>
      </c>
      <c r="M8" s="53" t="n"/>
    </row>
    <row r="9">
      <c r="A9" s="20" t="inlineStr">
        <is>
          <t>무직</t>
        </is>
      </c>
      <c r="B9" s="52" t="n">
        <v>59.3</v>
      </c>
      <c r="C9" s="52" t="n">
        <v>2.1</v>
      </c>
      <c r="D9" s="52" t="n">
        <v>2.4</v>
      </c>
      <c r="E9" s="52" t="n">
        <v>1.3</v>
      </c>
      <c r="F9" s="52" t="n">
        <v>4.8</v>
      </c>
      <c r="G9" s="52" t="n">
        <v>5.8</v>
      </c>
      <c r="H9" s="52" t="n">
        <v>1.6</v>
      </c>
      <c r="I9" s="52" t="n">
        <v>1.2</v>
      </c>
      <c r="J9" s="52" t="n">
        <v>8.800000000000001</v>
      </c>
      <c r="K9" s="52" t="n">
        <v>12.7</v>
      </c>
      <c r="L9" s="52" t="n">
        <v>0.1</v>
      </c>
      <c r="M9" s="53" t="n"/>
    </row>
    <row r="10">
      <c r="B10" s="53" t="n"/>
      <c r="C10" s="53" t="n"/>
      <c r="D10" s="53" t="n"/>
      <c r="E10" s="53" t="n"/>
      <c r="F10" s="53" t="n"/>
      <c r="G10" s="53" t="n"/>
      <c r="H10" s="53" t="n"/>
      <c r="I10" s="53" t="n"/>
      <c r="J10" s="53" t="n"/>
      <c r="K10" s="53" t="n"/>
      <c r="L10" s="53" t="n"/>
      <c r="M10" s="53" t="n"/>
    </row>
  </sheetData>
  <mergeCells count="1">
    <mergeCell ref="A1:L1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2021-03-13T14:21:08Z</dcterms:created>
  <dcterms:modified xmlns:dcterms="http://purl.org/dc/terms/" xmlns:xsi="http://www.w3.org/2001/XMLSchema-instance" xsi:type="dcterms:W3CDTF">2026-06-06T06:34:18Z</dcterms:modified>
  <cp:lastModifiedBy>Administrator</cp:lastModifiedBy>
</cp:coreProperties>
</file>