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1560" yWindow="1560" windowWidth="20100" windowHeight="18195" tabRatio="930" firstSheet="0" activeTab="7" autoFilterDateGrouping="1"/>
  </bookViews>
  <sheets>
    <sheet xmlns:r="http://schemas.openxmlformats.org/officeDocument/2006/relationships" name="기본작업-1" sheetId="1" state="visible" r:id="rId1"/>
    <sheet xmlns:r="http://schemas.openxmlformats.org/officeDocument/2006/relationships" name="기본작업-2" sheetId="2" state="visible" r:id="rId2"/>
    <sheet xmlns:r="http://schemas.openxmlformats.org/officeDocument/2006/relationships" name="기본작업-3" sheetId="3" state="visible" r:id="rId3"/>
    <sheet xmlns:r="http://schemas.openxmlformats.org/officeDocument/2006/relationships" name="계산작업" sheetId="4" state="visible" r:id="rId4"/>
    <sheet xmlns:r="http://schemas.openxmlformats.org/officeDocument/2006/relationships" name="분석작업-1" sheetId="5" state="visible" r:id="rId5"/>
    <sheet xmlns:r="http://schemas.openxmlformats.org/officeDocument/2006/relationships" name="분석작업-2" sheetId="6" state="visible" r:id="rId6"/>
    <sheet xmlns:r="http://schemas.openxmlformats.org/officeDocument/2006/relationships" name="매크로작업" sheetId="7" state="visible" r:id="rId7"/>
    <sheet xmlns:r="http://schemas.openxmlformats.org/officeDocument/2006/relationships" name="차트작업" sheetId="8" state="visible" r:id="rId8"/>
  </sheets>
  <definedNames/>
  <calcPr calcId="181029" fullCalcOnLoad="1"/>
</workbook>
</file>

<file path=xl/styles.xml><?xml version="1.0" encoding="utf-8"?>
<styleSheet xmlns="http://schemas.openxmlformats.org/spreadsheetml/2006/main">
  <numFmts count="3">
    <numFmt numFmtId="164" formatCode="_-* #,##0_-;\-* #,##0_-;_-* &quot;-&quot;_-;_-@_-"/>
    <numFmt numFmtId="165" formatCode="#,##0&quot;원&quot;"/>
    <numFmt numFmtId="166" formatCode="#,##0_ "/>
  </numFmts>
  <fonts count="8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0"/>
      <sz val="11"/>
      <scheme val="minor"/>
    </font>
    <font>
      <name val="굴림"/>
      <charset val="129"/>
      <family val="3"/>
      <b val="1"/>
      <color theme="1"/>
      <sz val="20"/>
    </font>
    <font>
      <name val="돋움"/>
      <charset val="129"/>
      <family val="3"/>
      <color indexed="81"/>
      <sz val="9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color rgb="FF000000"/>
      <sz val="11"/>
    </font>
  </fonts>
  <fills count="6">
    <fill>
      <patternFill/>
    </fill>
    <fill>
      <patternFill patternType="gray125"/>
    </fill>
    <fill>
      <patternFill patternType="solid">
        <fgColor theme="5"/>
      </patternFill>
    </fill>
    <fill>
      <patternFill patternType="solid">
        <fgColor rgb="FF00B0F0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rgb="FF92D05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2" fillId="0" borderId="0" applyAlignment="1">
      <alignment vertical="center"/>
    </xf>
    <xf numFmtId="164" fontId="2" fillId="0" borderId="0" applyAlignment="1">
      <alignment vertical="center"/>
    </xf>
    <xf numFmtId="9" fontId="2" fillId="0" borderId="0" applyAlignment="1">
      <alignment vertical="center"/>
    </xf>
    <xf numFmtId="0" fontId="3" fillId="2" borderId="0" applyAlignment="1">
      <alignment vertical="center"/>
    </xf>
  </cellStyleXfs>
  <cellXfs count="34">
    <xf numFmtId="0" fontId="0" fillId="0" borderId="0" applyAlignment="1" pivotButton="0" quotePrefix="0" xfId="0">
      <alignment vertical="center"/>
    </xf>
    <xf numFmtId="164" fontId="0" fillId="0" borderId="0" applyAlignment="1" pivotButton="0" quotePrefix="0" xfId="1">
      <alignment vertical="center"/>
    </xf>
    <xf numFmtId="0" fontId="0" fillId="0" borderId="1" applyAlignment="1" pivotButton="0" quotePrefix="0" xfId="0">
      <alignment vertical="center"/>
    </xf>
    <xf numFmtId="164" fontId="0" fillId="0" borderId="1" applyAlignment="1" pivotButton="0" quotePrefix="0" xfId="1">
      <alignment vertical="center"/>
    </xf>
    <xf numFmtId="0" fontId="0" fillId="0" borderId="1" applyAlignment="1" pivotButton="0" quotePrefix="0" xfId="0">
      <alignment horizontal="center" vertical="center"/>
    </xf>
    <xf numFmtId="0" fontId="3" fillId="2" borderId="1" applyAlignment="1" pivotButton="0" quotePrefix="0" xfId="3">
      <alignment horizontal="center" vertical="center"/>
    </xf>
    <xf numFmtId="165" fontId="0" fillId="0" borderId="1" applyAlignment="1" pivotButton="0" quotePrefix="0" xfId="1">
      <alignment vertical="center"/>
    </xf>
    <xf numFmtId="9" fontId="0" fillId="0" borderId="1" applyAlignment="1" pivotButton="0" quotePrefix="0" xfId="0">
      <alignment vertical="center"/>
    </xf>
    <xf numFmtId="0" fontId="0" fillId="0" borderId="1" applyAlignment="1" pivotButton="0" quotePrefix="0" xfId="0">
      <alignment horizontal="center" vertical="center"/>
    </xf>
    <xf numFmtId="49" fontId="0" fillId="0" borderId="1" applyAlignment="1" pivotButton="0" quotePrefix="1" xfId="0">
      <alignment vertical="center"/>
    </xf>
    <xf numFmtId="0" fontId="0" fillId="3" borderId="1" applyAlignment="1" pivotButton="0" quotePrefix="0" xfId="0">
      <alignment horizontal="center" vertical="center"/>
    </xf>
    <xf numFmtId="164" fontId="0" fillId="0" borderId="1" applyAlignment="1" pivotButton="0" quotePrefix="0" xfId="1">
      <alignment horizontal="center" vertical="center"/>
    </xf>
    <xf numFmtId="0" fontId="0" fillId="0" borderId="0" applyAlignment="1" pivotButton="0" quotePrefix="0" xfId="0">
      <alignment horizontal="left" vertical="center"/>
    </xf>
    <xf numFmtId="0" fontId="0" fillId="0" borderId="0" applyAlignment="1" pivotButton="1" quotePrefix="0" xfId="0">
      <alignment vertical="center"/>
    </xf>
    <xf numFmtId="0" fontId="0" fillId="0" borderId="0" applyAlignment="1" pivotButton="0" quotePrefix="0" xfId="0">
      <alignment horizontal="left" vertical="center"/>
    </xf>
    <xf numFmtId="0" fontId="0" fillId="0" borderId="0" applyAlignment="1" pivotButton="0" quotePrefix="0" xfId="0">
      <alignment horizontal="left" vertical="center" indent="1"/>
    </xf>
    <xf numFmtId="166" fontId="0" fillId="0" borderId="0" applyAlignment="1" pivotButton="0" quotePrefix="0" xfId="0">
      <alignment vertical="center"/>
    </xf>
    <xf numFmtId="0" fontId="0" fillId="4" borderId="1" applyAlignment="1" pivotButton="0" quotePrefix="0" xfId="0">
      <alignment horizontal="center" vertical="center"/>
    </xf>
    <xf numFmtId="164" fontId="6" fillId="5" borderId="1" applyAlignment="1" pivotButton="0" quotePrefix="0" xfId="1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0" applyAlignment="1" pivotButton="0" quotePrefix="0" xfId="1">
      <alignment vertical="center"/>
    </xf>
    <xf numFmtId="164" fontId="0" fillId="0" borderId="0" applyAlignment="1" pivotButton="0" quotePrefix="0" xfId="1">
      <alignment vertical="center"/>
    </xf>
    <xf numFmtId="2" fontId="0" fillId="0" borderId="0" applyAlignment="1" pivotButton="0" quotePrefix="0" xfId="2">
      <alignment vertical="center"/>
    </xf>
    <xf numFmtId="9" fontId="0" fillId="0" borderId="1" applyAlignment="1" pivotButton="0" quotePrefix="0" xfId="2">
      <alignment vertical="center"/>
    </xf>
    <xf numFmtId="0" fontId="0" fillId="0" borderId="1" applyAlignment="1" pivotButton="0" quotePrefix="0" xfId="0">
      <alignment horizontal="center" vertical="center"/>
    </xf>
    <xf numFmtId="0" fontId="4" fillId="0" borderId="0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3" borderId="1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 vertical="center"/>
    </xf>
    <xf numFmtId="0" fontId="0" fillId="0" borderId="0" pivotButton="0" quotePrefix="0" xfId="0"/>
    <xf numFmtId="164" fontId="0" fillId="0" borderId="0" applyAlignment="1" pivotButton="0" quotePrefix="0" xfId="1">
      <alignment vertical="center"/>
    </xf>
    <xf numFmtId="164" fontId="0" fillId="0" borderId="1" applyAlignment="1" pivotButton="0" quotePrefix="0" xfId="1">
      <alignment vertical="center"/>
    </xf>
    <xf numFmtId="164" fontId="0" fillId="0" borderId="1" applyAlignment="1" pivotButton="0" quotePrefix="0" xfId="1">
      <alignment horizontal="center" vertical="center"/>
    </xf>
    <xf numFmtId="0" fontId="0" fillId="0" borderId="4" pivotButton="0" quotePrefix="0" xfId="0"/>
  </cellXfs>
  <cellStyles count="4">
    <cellStyle name="표준" xfId="0" builtinId="0"/>
    <cellStyle name="쉼표 [0]" xfId="1" builtinId="6"/>
    <cellStyle name="백분율" xfId="2" builtinId="5"/>
    <cellStyle name="강조색2" xfId="3" builtinId="33"/>
  </cellStyles>
  <dxfs count="1">
    <dxf>
      <fill>
        <patternFill patternType="solid">
          <fgColor rgb="FFBDD7EE"/>
          <bgColor rgb="FF00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styles" Target="styles.xml" Id="rId9"/><Relationship Type="http://schemas.openxmlformats.org/officeDocument/2006/relationships/theme" Target="theme/theme1.xml" Id="rId10"/><Relationship Type="http://schemas.microsoft.com/office/2006/relationships/vbaProject" Target="vbaProject.bin" Id="rId11"/></Relationships>
</file>

<file path=xl/charts/chart1.xml><?xml version="1.0" encoding="utf-8"?>
<chartSpace xmlns="http://schemas.openxmlformats.org/drawingml/2006/chart">
  <chart>
    <plotArea>
      <layout/>
      <barChart>
        <barDir val="col"/>
        <grouping val="clustered"/>
        <varyColors val="0"/>
        <ser>
          <idx val="0"/>
          <order val="0"/>
          <tx>
            <strRef>
              <f>차트작업!$B$3</f>
              <strCache>
                <ptCount val="1"/>
                <pt idx="0">
                  <v xml:space="preserve"> 영화 </v>
                </pt>
              </strCache>
            </strRef>
          </tx>
          <spPr>
            <a:solidFill xmlns:a="http://schemas.openxmlformats.org/drawingml/2006/main">
              <a:schemeClr val="accent1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차트작업!$A$4:$A$10</f>
              <strCache>
                <ptCount val="7"/>
                <pt idx="0">
                  <v xml:space="preserve"> 고은주 </v>
                </pt>
                <pt idx="1">
                  <v xml:space="preserve"> 김지선 </v>
                </pt>
                <pt idx="2">
                  <v xml:space="preserve"> 오현지 </v>
                </pt>
                <pt idx="3">
                  <v xml:space="preserve"> 임지민 </v>
                </pt>
                <pt idx="4">
                  <v xml:space="preserve"> 지선우 </v>
                </pt>
                <pt idx="5">
                  <v xml:space="preserve"> 최우현 </v>
                </pt>
                <pt idx="6">
                  <v xml:space="preserve"> 하윤지 </v>
                </pt>
              </strCache>
            </strRef>
          </cat>
          <val>
            <numRef>
              <f>차트작업!$B$4:$B$10</f>
              <numCache>
                <formatCode>_-* #,##0_-;\-* #,##0_-;_-* "-"_-;_-@_-</formatCode>
                <ptCount val="7"/>
                <pt idx="0">
                  <v>16000</v>
                </pt>
                <pt idx="1">
                  <v>22000</v>
                </pt>
                <pt idx="2">
                  <v>8000</v>
                </pt>
                <pt idx="3">
                  <v>44000</v>
                </pt>
                <pt idx="4">
                  <v>16000</v>
                </pt>
                <pt idx="5">
                  <v>16000</v>
                </pt>
                <pt idx="6">
                  <v>22000</v>
                </pt>
              </numCache>
            </numRef>
          </val>
        </ser>
        <ser>
          <idx val="1"/>
          <order val="1"/>
          <tx>
            <strRef>
              <f>차트작업!$C$3</f>
              <strCache>
                <ptCount val="1"/>
                <pt idx="0">
                  <v xml:space="preserve"> 연극 </v>
                </pt>
              </strCache>
            </strRef>
          </tx>
          <spPr>
            <a:solidFill xmlns:a="http://schemas.openxmlformats.org/drawingml/2006/main">
              <a:schemeClr val="accent2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차트작업!$A$4:$A$10</f>
              <strCache>
                <ptCount val="7"/>
                <pt idx="0">
                  <v xml:space="preserve"> 고은주 </v>
                </pt>
                <pt idx="1">
                  <v xml:space="preserve"> 김지선 </v>
                </pt>
                <pt idx="2">
                  <v xml:space="preserve"> 오현지 </v>
                </pt>
                <pt idx="3">
                  <v xml:space="preserve"> 임지민 </v>
                </pt>
                <pt idx="4">
                  <v xml:space="preserve"> 지선우 </v>
                </pt>
                <pt idx="5">
                  <v xml:space="preserve"> 최우현 </v>
                </pt>
                <pt idx="6">
                  <v xml:space="preserve"> 하윤지 </v>
                </pt>
              </strCache>
            </strRef>
          </cat>
          <val>
            <numRef>
              <f>차트작업!$C$4:$C$10</f>
              <numCache>
                <formatCode>_-* #,##0_-;\-* #,##0_-;_-* "-"_-;_-@_-</formatCode>
                <ptCount val="7"/>
                <pt idx="0">
                  <v>30000</v>
                </pt>
                <pt idx="1">
                  <v>60000</v>
                </pt>
                <pt idx="2">
                  <v>40000</v>
                </pt>
                <pt idx="3">
                  <v>30000</v>
                </pt>
                <pt idx="4">
                  <v>40000</v>
                </pt>
                <pt idx="5">
                  <v>20000</v>
                </pt>
                <pt idx="6">
                  <v>30000</v>
                </pt>
              </numCache>
            </numRef>
          </val>
        </ser>
        <ser>
          <idx val="2"/>
          <order val="2"/>
          <tx>
            <strRef>
              <f>차트작업!$D$3</f>
              <strCache>
                <ptCount val="1"/>
                <pt idx="0">
                  <v xml:space="preserve"> 뮤지컬 </v>
                </pt>
              </strCache>
            </strRef>
          </tx>
          <spPr>
            <a:solidFill xmlns:a="http://schemas.openxmlformats.org/drawingml/2006/main">
              <a:schemeClr val="accent3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strRef>
              <f>차트작업!$A$4:$A$10</f>
              <strCache>
                <ptCount val="7"/>
                <pt idx="0">
                  <v xml:space="preserve"> 고은주 </v>
                </pt>
                <pt idx="1">
                  <v xml:space="preserve"> 김지선 </v>
                </pt>
                <pt idx="2">
                  <v xml:space="preserve"> 오현지 </v>
                </pt>
                <pt idx="3">
                  <v xml:space="preserve"> 임지민 </v>
                </pt>
                <pt idx="4">
                  <v xml:space="preserve"> 지선우 </v>
                </pt>
                <pt idx="5">
                  <v xml:space="preserve"> 최우현 </v>
                </pt>
                <pt idx="6">
                  <v xml:space="preserve"> 하윤지 </v>
                </pt>
              </strCache>
            </strRef>
          </cat>
          <val>
            <numRef>
              <f>차트작업!$D$4:$D$10</f>
              <numCache>
                <formatCode>_-* #,##0_-;\-* #,##0_-;_-* "-"_-;_-@_-</formatCode>
                <ptCount val="7"/>
                <pt idx="0">
                  <v>0</v>
                </pt>
                <pt idx="1">
                  <v>160000</v>
                </pt>
                <pt idx="2">
                  <v>80000</v>
                </pt>
                <pt idx="3">
                  <v>120000</v>
                </pt>
                <pt idx="4">
                  <v>180000</v>
                </pt>
                <pt idx="5">
                  <v>320000</v>
                </pt>
                <pt idx="6">
                  <v>80000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1621222720"/>
        <axId val="1621221472"/>
      </barChart>
      <catAx>
        <axId val="1621222720"/>
        <scaling>
          <orientation val="minMax"/>
        </scaling>
        <delete val="0"/>
        <axPos val="b"/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621221472"/>
        <crosses val="autoZero"/>
        <auto val="1"/>
        <lblAlgn val="ctr"/>
        <lblOffset val="100"/>
        <noMultiLvlLbl val="0"/>
      </catAx>
      <valAx>
        <axId val="1621221472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_-* #,##0_-;\-* #,##0_-;_-* &quot;-&quot;_-;_-@_-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ko-KR"/>
          </a:p>
        </txPr>
        <crossAx val="1621222720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ko-KR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trlProps/ctrlProp1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12032</colOff>
      <row>11</row>
      <rowOff>224589</rowOff>
    </from>
    <to>
      <col>6</col>
      <colOff>501316</colOff>
      <row>24</row>
      <rowOff>48126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8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A1"/>
  <sheetViews>
    <sheetView zoomScale="400" zoomScaleNormal="400" workbookViewId="0">
      <selection activeCell="B5" sqref="B5"/>
    </sheetView>
  </sheetViews>
  <sheetFormatPr baseColWidth="8" defaultRowHeight="16.5"/>
  <sheetData>
    <row r="1">
      <c r="A1" s="0" t="inlineStr">
        <is>
          <t xml:space="preserve">문화센터 강좌 안내 </t>
        </is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G10"/>
  <sheetViews>
    <sheetView zoomScale="265" zoomScaleNormal="265" workbookViewId="0">
      <selection activeCell="D6" sqref="D6"/>
    </sheetView>
  </sheetViews>
  <sheetFormatPr baseColWidth="8" defaultRowHeight="16.5"/>
  <cols>
    <col width="13" customWidth="1" style="29" min="1" max="1"/>
    <col width="8.875" bestFit="1" customWidth="1" style="29" min="3" max="3"/>
    <col width="8.875" customWidth="1" style="29" min="4" max="4"/>
    <col width="8.875" bestFit="1" customWidth="1" style="29" min="5" max="5"/>
    <col width="10.75" bestFit="1" customWidth="1" style="29" min="6" max="7"/>
  </cols>
  <sheetData>
    <row r="1">
      <c r="A1" s="0" t="inlineStr">
        <is>
          <t xml:space="preserve">일일 매출 현황표 </t>
        </is>
      </c>
    </row>
    <row r="3">
      <c r="A3" s="26" t="inlineStr">
        <is>
          <t>항목</t>
        </is>
      </c>
      <c r="B3" s="26" t="inlineStr">
        <is>
          <t>결제수단</t>
        </is>
      </c>
      <c r="C3" s="26" t="inlineStr">
        <is>
          <t>판매가</t>
        </is>
      </c>
      <c r="D3" s="26" t="inlineStr">
        <is>
          <t>목표수량</t>
        </is>
      </c>
      <c r="E3" s="26" t="inlineStr">
        <is>
          <t>판매수량</t>
        </is>
      </c>
      <c r="F3" s="26" t="inlineStr">
        <is>
          <t>목표달성율</t>
        </is>
      </c>
      <c r="G3" s="26" t="inlineStr">
        <is>
          <t>매출금액</t>
        </is>
      </c>
    </row>
    <row r="4">
      <c r="A4" s="26" t="inlineStr">
        <is>
          <t>캠핑 충전랜턴</t>
        </is>
      </c>
      <c r="B4" s="26" t="inlineStr">
        <is>
          <t>현금</t>
        </is>
      </c>
      <c r="C4" s="20" t="n">
        <v>26500</v>
      </c>
      <c r="D4" s="30" t="n">
        <v>80</v>
      </c>
      <c r="E4" s="30" t="n">
        <v>80</v>
      </c>
      <c r="F4" s="22">
        <f>E4/D4*100%</f>
        <v/>
      </c>
      <c r="G4" s="30">
        <f>C4*E4</f>
        <v/>
      </c>
    </row>
    <row r="5">
      <c r="A5" s="26" t="inlineStr">
        <is>
          <t>에어매트</t>
        </is>
      </c>
      <c r="B5" s="26" t="inlineStr">
        <is>
          <t>카드</t>
        </is>
      </c>
      <c r="C5" s="20" t="n">
        <v>39900</v>
      </c>
      <c r="D5" s="30" t="n">
        <v>50</v>
      </c>
      <c r="E5" s="30" t="n">
        <v>51</v>
      </c>
      <c r="F5" s="22">
        <f>E5/D5*100%</f>
        <v/>
      </c>
      <c r="G5" s="30">
        <f>C5*E5</f>
        <v/>
      </c>
    </row>
    <row r="6">
      <c r="A6" s="26" t="inlineStr">
        <is>
          <t>폴딩박스</t>
        </is>
      </c>
      <c r="B6" s="26" t="inlineStr">
        <is>
          <t>현금</t>
        </is>
      </c>
      <c r="C6" s="20" t="n">
        <v>33200</v>
      </c>
      <c r="D6" s="30" t="n">
        <v>20</v>
      </c>
      <c r="E6" s="30" t="n">
        <v>28</v>
      </c>
      <c r="F6" s="22">
        <f>E6/D6*100%</f>
        <v/>
      </c>
      <c r="G6" s="30">
        <f>C6*E6</f>
        <v/>
      </c>
    </row>
    <row r="7">
      <c r="A7" s="26" t="inlineStr">
        <is>
          <t>캠핑매트</t>
        </is>
      </c>
      <c r="B7" s="26" t="inlineStr">
        <is>
          <t>현금</t>
        </is>
      </c>
      <c r="C7" s="20" t="n">
        <v>11900</v>
      </c>
      <c r="D7" s="30" t="n">
        <v>50</v>
      </c>
      <c r="E7" s="30" t="n">
        <v>54</v>
      </c>
      <c r="F7" s="22">
        <f>E7/D7*100%</f>
        <v/>
      </c>
      <c r="G7" s="30">
        <f>C7*E7</f>
        <v/>
      </c>
    </row>
    <row r="8">
      <c r="A8" s="26" t="inlineStr">
        <is>
          <t>불멍화로대</t>
        </is>
      </c>
      <c r="B8" s="26" t="inlineStr">
        <is>
          <t>카드</t>
        </is>
      </c>
      <c r="C8" s="20" t="n">
        <v>19300</v>
      </c>
      <c r="D8" s="30" t="n">
        <v>20</v>
      </c>
      <c r="E8" s="30" t="n">
        <v>22</v>
      </c>
      <c r="F8" s="22">
        <f>E8/D8*100%</f>
        <v/>
      </c>
      <c r="G8" s="30">
        <f>C8*E8</f>
        <v/>
      </c>
    </row>
    <row r="9">
      <c r="A9" s="26" t="inlineStr">
        <is>
          <t>멀티스토브</t>
        </is>
      </c>
      <c r="B9" s="26" t="inlineStr">
        <is>
          <t>카드</t>
        </is>
      </c>
      <c r="C9" s="20" t="n">
        <v>81900</v>
      </c>
      <c r="D9" s="30" t="n">
        <v>20</v>
      </c>
      <c r="E9" s="30" t="n">
        <v>29</v>
      </c>
      <c r="F9" s="22">
        <f>E9/D9*100%</f>
        <v/>
      </c>
      <c r="G9" s="30">
        <f>C9*E9</f>
        <v/>
      </c>
    </row>
    <row r="10">
      <c r="A10" s="26" t="inlineStr">
        <is>
          <t>원터치텐트</t>
        </is>
      </c>
      <c r="B10" s="26" t="inlineStr">
        <is>
          <t>카드</t>
        </is>
      </c>
      <c r="C10" s="20" t="n">
        <v>45000</v>
      </c>
      <c r="D10" s="30" t="n">
        <v>10</v>
      </c>
      <c r="E10" s="30" t="n">
        <v>8</v>
      </c>
      <c r="F10" s="22">
        <f>E10/D10*100%</f>
        <v/>
      </c>
      <c r="G10" s="30">
        <f>C10*E10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1:E13"/>
  <sheetViews>
    <sheetView zoomScale="265" zoomScaleNormal="265" workbookViewId="0">
      <selection activeCell="B7" sqref="B7"/>
    </sheetView>
  </sheetViews>
  <sheetFormatPr baseColWidth="8" defaultRowHeight="16.5"/>
  <cols>
    <col width="14" bestFit="1" customWidth="1" style="29" min="1" max="1"/>
    <col width="12.875" customWidth="1" style="29" min="2" max="2"/>
  </cols>
  <sheetData>
    <row r="1">
      <c r="A1" s="26" t="inlineStr">
        <is>
          <t>주방용품 판매 목록</t>
        </is>
      </c>
    </row>
    <row r="3">
      <c r="A3" s="28" t="inlineStr">
        <is>
          <t>카테고리</t>
        </is>
      </c>
      <c r="B3" s="28" t="inlineStr">
        <is>
          <t>상품명</t>
        </is>
      </c>
      <c r="C3" s="28" t="inlineStr">
        <is>
          <t>가격</t>
        </is>
      </c>
      <c r="D3" s="28" t="inlineStr">
        <is>
          <t>할인율</t>
        </is>
      </c>
      <c r="E3" s="28" t="inlineStr">
        <is>
          <t>배송</t>
        </is>
      </c>
    </row>
    <row r="4">
      <c r="A4" s="28" t="inlineStr">
        <is>
          <t>주방가전</t>
        </is>
      </c>
      <c r="B4" s="2" t="inlineStr">
        <is>
          <t>와플메이커</t>
        </is>
      </c>
      <c r="C4" s="31" t="n">
        <v>35900</v>
      </c>
      <c r="D4" s="7" t="n">
        <v>0.15</v>
      </c>
      <c r="E4" s="2" t="inlineStr">
        <is>
          <t>당일배송</t>
        </is>
      </c>
    </row>
    <row r="5">
      <c r="A5" s="28" t="inlineStr">
        <is>
          <t>냄비/프라이팬</t>
        </is>
      </c>
      <c r="B5" s="2" t="inlineStr">
        <is>
          <t>세라믹3종냄비</t>
        </is>
      </c>
      <c r="C5" s="31" t="n">
        <v>29500</v>
      </c>
      <c r="D5" s="7" t="n">
        <v>0.04</v>
      </c>
      <c r="E5" s="2" t="inlineStr">
        <is>
          <t>일반택배</t>
        </is>
      </c>
    </row>
    <row r="6">
      <c r="A6" s="28" t="inlineStr">
        <is>
          <t>그릇/홈세트</t>
        </is>
      </c>
      <c r="B6" s="2" t="inlineStr">
        <is>
          <t>빨대컵200ml</t>
        </is>
      </c>
      <c r="C6" s="31" t="n">
        <v>15900</v>
      </c>
      <c r="D6" s="7" t="n">
        <v>0.1</v>
      </c>
      <c r="E6" s="2" t="inlineStr">
        <is>
          <t>일반택배</t>
        </is>
      </c>
    </row>
    <row r="7">
      <c r="A7" s="28" t="inlineStr">
        <is>
          <t>주방잡화</t>
        </is>
      </c>
      <c r="B7" s="2" t="inlineStr">
        <is>
          <t>위생장갑</t>
        </is>
      </c>
      <c r="C7" s="31" t="n">
        <v>17900</v>
      </c>
      <c r="D7" s="7" t="n">
        <v>0.2</v>
      </c>
      <c r="E7" s="2" t="inlineStr">
        <is>
          <t>당일배송</t>
        </is>
      </c>
    </row>
    <row r="8">
      <c r="A8" s="28" t="inlineStr">
        <is>
          <t>냄비/프라이팬</t>
        </is>
      </c>
      <c r="B8" s="2" t="inlineStr">
        <is>
          <t>세라믹 펜</t>
        </is>
      </c>
      <c r="C8" s="31" t="n">
        <v>18800</v>
      </c>
      <c r="D8" s="7" t="n">
        <v>0.1</v>
      </c>
      <c r="E8" s="2" t="inlineStr">
        <is>
          <t>일반택배</t>
        </is>
      </c>
    </row>
    <row r="9">
      <c r="A9" s="28" t="inlineStr">
        <is>
          <t>그릇/홈세트</t>
        </is>
      </c>
      <c r="B9" s="2" t="inlineStr">
        <is>
          <t>파스타볼2p</t>
        </is>
      </c>
      <c r="C9" s="31" t="n">
        <v>9600</v>
      </c>
      <c r="D9" s="7" t="n">
        <v>0.3</v>
      </c>
      <c r="E9" s="2" t="inlineStr">
        <is>
          <t>일반택배</t>
        </is>
      </c>
    </row>
    <row r="10">
      <c r="A10" s="28" t="inlineStr">
        <is>
          <t>칼/도마</t>
        </is>
      </c>
      <c r="B10" s="2" t="inlineStr">
        <is>
          <t>도마세트</t>
        </is>
      </c>
      <c r="C10" s="31" t="n">
        <v>11200</v>
      </c>
      <c r="D10" s="7" t="n">
        <v>0.1</v>
      </c>
      <c r="E10" s="2" t="inlineStr">
        <is>
          <t>당일배송</t>
        </is>
      </c>
    </row>
    <row r="11">
      <c r="A11" s="28" t="inlineStr">
        <is>
          <t>그릇/홈세트</t>
        </is>
      </c>
      <c r="B11" s="2" t="inlineStr">
        <is>
          <t>앞접시 6종</t>
        </is>
      </c>
      <c r="C11" s="31" t="n">
        <v>20000</v>
      </c>
      <c r="D11" s="7" t="n">
        <v>0.2</v>
      </c>
      <c r="E11" s="2" t="inlineStr">
        <is>
          <t>당일배송</t>
        </is>
      </c>
    </row>
    <row r="12">
      <c r="A12" s="28" t="inlineStr">
        <is>
          <t>주방잡화</t>
        </is>
      </c>
      <c r="B12" s="2" t="inlineStr">
        <is>
          <t>주방저울</t>
        </is>
      </c>
      <c r="C12" s="31" t="n">
        <v>11900</v>
      </c>
      <c r="D12" s="7" t="n">
        <v>0.15</v>
      </c>
      <c r="E12" s="2" t="inlineStr">
        <is>
          <t>일반택배</t>
        </is>
      </c>
    </row>
    <row r="13">
      <c r="A13" s="28" t="inlineStr">
        <is>
          <t>보온/보냉용품</t>
        </is>
      </c>
      <c r="B13" s="2" t="inlineStr">
        <is>
          <t>쿨러백</t>
        </is>
      </c>
      <c r="C13" s="31" t="n">
        <v>26800</v>
      </c>
      <c r="D13" s="7" t="n">
        <v>0.05</v>
      </c>
      <c r="E13" s="2" t="inlineStr">
        <is>
          <t>당일배송</t>
        </is>
      </c>
    </row>
  </sheetData>
  <mergeCells count="1">
    <mergeCell ref="A1:E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>
  <sheetPr>
    <outlinePr summaryBelow="1" summaryRight="1"/>
    <pageSetUpPr/>
  </sheetPr>
  <dimension ref="A1:N38"/>
  <sheetViews>
    <sheetView topLeftCell="A7" zoomScale="250" zoomScaleNormal="250" workbookViewId="0">
      <selection activeCell="A13" sqref="A13"/>
    </sheetView>
  </sheetViews>
  <sheetFormatPr baseColWidth="8" defaultRowHeight="16.5"/>
  <sheetData>
    <row r="1">
      <c r="A1" s="0" t="inlineStr">
        <is>
          <t xml:space="preserve">[표1] 모의고사 점수 </t>
        </is>
      </c>
      <c r="G1" s="0" t="inlineStr">
        <is>
          <t>[표2]</t>
        </is>
      </c>
    </row>
    <row r="2">
      <c r="A2" s="27" t="inlineStr">
        <is>
          <t xml:space="preserve">이름 </t>
        </is>
      </c>
      <c r="B2" s="27" t="inlineStr">
        <is>
          <t>언어</t>
        </is>
      </c>
      <c r="C2" s="27" t="inlineStr">
        <is>
          <t>수리</t>
        </is>
      </c>
      <c r="D2" s="27" t="inlineStr">
        <is>
          <t>외국어</t>
        </is>
      </c>
      <c r="G2" s="27" t="inlineStr">
        <is>
          <t>지원번호</t>
        </is>
      </c>
      <c r="H2" s="27" t="inlineStr">
        <is>
          <t>시험점수</t>
        </is>
      </c>
      <c r="I2" s="27" t="inlineStr">
        <is>
          <t>결과</t>
        </is>
      </c>
    </row>
    <row r="3">
      <c r="A3" s="28" t="inlineStr">
        <is>
          <t>곽보람</t>
        </is>
      </c>
      <c r="B3" s="28" t="n">
        <v>87</v>
      </c>
      <c r="C3" s="28" t="n">
        <v>82</v>
      </c>
      <c r="D3" s="28" t="n">
        <v>92</v>
      </c>
      <c r="G3" s="28" t="inlineStr">
        <is>
          <t>N101101</t>
        </is>
      </c>
      <c r="H3" s="28" t="n">
        <v>97</v>
      </c>
      <c r="I3" s="28" t="n"/>
    </row>
    <row r="4">
      <c r="A4" s="28" t="inlineStr">
        <is>
          <t>김도유</t>
        </is>
      </c>
      <c r="B4" s="28" t="n">
        <v>78</v>
      </c>
      <c r="C4" s="28" t="n">
        <v>74</v>
      </c>
      <c r="D4" s="28" t="n">
        <v>84</v>
      </c>
      <c r="G4" s="28" t="inlineStr">
        <is>
          <t>N102390</t>
        </is>
      </c>
      <c r="H4" s="28" t="n">
        <v>73</v>
      </c>
      <c r="I4" s="28" t="n"/>
    </row>
    <row r="5">
      <c r="A5" s="28" t="inlineStr">
        <is>
          <t>김도현</t>
        </is>
      </c>
      <c r="B5" s="28" t="n">
        <v>76</v>
      </c>
      <c r="C5" s="28" t="n">
        <v>96</v>
      </c>
      <c r="D5" s="28" t="n">
        <v>89</v>
      </c>
      <c r="G5" s="28" t="inlineStr">
        <is>
          <t>N102487</t>
        </is>
      </c>
      <c r="H5" s="28" t="n">
        <v>81</v>
      </c>
      <c r="I5" s="28" t="n"/>
    </row>
    <row r="6">
      <c r="A6" s="28" t="inlineStr">
        <is>
          <t>박우정</t>
        </is>
      </c>
      <c r="B6" s="28" t="n">
        <v>89</v>
      </c>
      <c r="C6" s="28" t="n">
        <v>78</v>
      </c>
      <c r="D6" s="28" t="n">
        <v>85</v>
      </c>
      <c r="G6" s="28" t="inlineStr">
        <is>
          <t>N102499</t>
        </is>
      </c>
      <c r="H6" s="28" t="n">
        <v>90</v>
      </c>
      <c r="I6" s="28" t="n"/>
    </row>
    <row r="7">
      <c r="A7" s="28" t="inlineStr">
        <is>
          <t>오현지</t>
        </is>
      </c>
      <c r="B7" s="28" t="n">
        <v>86</v>
      </c>
      <c r="C7" s="28" t="n">
        <v>72</v>
      </c>
      <c r="D7" s="28" t="n">
        <v>76</v>
      </c>
      <c r="G7" s="28" t="inlineStr">
        <is>
          <t>N102598</t>
        </is>
      </c>
      <c r="H7" s="28" t="n">
        <v>87</v>
      </c>
      <c r="I7" s="28" t="n"/>
    </row>
    <row r="8">
      <c r="A8" s="28" t="inlineStr">
        <is>
          <t>최재현</t>
        </is>
      </c>
      <c r="B8" s="28" t="n">
        <v>73</v>
      </c>
      <c r="C8" s="28" t="n">
        <v>70</v>
      </c>
      <c r="D8" s="28" t="n">
        <v>88</v>
      </c>
      <c r="G8" s="28" t="inlineStr">
        <is>
          <t>N102760</t>
        </is>
      </c>
      <c r="H8" s="28" t="n">
        <v>74</v>
      </c>
      <c r="I8" s="28" t="n"/>
    </row>
    <row r="9">
      <c r="A9" s="28" t="inlineStr">
        <is>
          <t>최우주</t>
        </is>
      </c>
      <c r="B9" s="28" t="n">
        <v>89</v>
      </c>
      <c r="C9" s="28" t="n">
        <v>89</v>
      </c>
      <c r="D9" s="28" t="n">
        <v>77</v>
      </c>
      <c r="G9" s="28" t="inlineStr">
        <is>
          <t>N102898</t>
        </is>
      </c>
      <c r="H9" s="28" t="n">
        <v>89</v>
      </c>
      <c r="I9" s="28" t="n"/>
    </row>
    <row r="10">
      <c r="A10" s="28" t="inlineStr">
        <is>
          <t>하유진</t>
        </is>
      </c>
      <c r="B10" s="28" t="n">
        <v>98</v>
      </c>
      <c r="C10" s="28" t="n">
        <v>91</v>
      </c>
      <c r="D10" s="28" t="n">
        <v>90</v>
      </c>
      <c r="G10" s="28" t="inlineStr">
        <is>
          <t>N103081</t>
        </is>
      </c>
      <c r="H10" s="28" t="n">
        <v>93</v>
      </c>
      <c r="I10" s="28" t="n"/>
    </row>
    <row r="11">
      <c r="A11" s="28" t="inlineStr">
        <is>
          <t>한아름</t>
        </is>
      </c>
      <c r="B11" s="28" t="n">
        <v>91</v>
      </c>
      <c r="C11" s="28" t="n">
        <v>90</v>
      </c>
      <c r="D11" s="28" t="n">
        <v>89</v>
      </c>
      <c r="G11" s="28" t="inlineStr">
        <is>
          <t>N103083</t>
        </is>
      </c>
      <c r="H11" s="28" t="n">
        <v>82</v>
      </c>
      <c r="I11" s="28" t="n"/>
    </row>
    <row r="12">
      <c r="A12" s="27" t="inlineStr">
        <is>
          <t>70점대</t>
        </is>
      </c>
      <c r="B12" s="28" t="n"/>
      <c r="C12" s="28" t="n"/>
      <c r="D12" s="28" t="n"/>
    </row>
    <row r="15">
      <c r="A15" s="0" t="inlineStr">
        <is>
          <t>[표3] 복사용지 가격표</t>
        </is>
      </c>
      <c r="G15" s="0" t="inlineStr">
        <is>
          <t>[표4]직무능력평가 점수 현황</t>
        </is>
      </c>
    </row>
    <row r="16">
      <c r="A16" s="27" t="inlineStr">
        <is>
          <t>상품코드</t>
        </is>
      </c>
      <c r="B16" s="27" t="inlineStr">
        <is>
          <t>가격</t>
        </is>
      </c>
      <c r="C16" s="27" t="inlineStr">
        <is>
          <t>용지구분</t>
        </is>
      </c>
      <c r="G16" s="27" t="inlineStr">
        <is>
          <t xml:space="preserve">수험번호 </t>
        </is>
      </c>
      <c r="H16" s="27" t="inlineStr">
        <is>
          <t>의사소통</t>
        </is>
      </c>
      <c r="I16" s="27" t="inlineStr">
        <is>
          <t>문제해결</t>
        </is>
      </c>
      <c r="J16" s="27" t="inlineStr">
        <is>
          <t>자원관리</t>
        </is>
      </c>
      <c r="K16" s="27" t="inlineStr">
        <is>
          <t>조직이해</t>
        </is>
      </c>
      <c r="L16" s="27" t="inlineStr">
        <is>
          <t>직업윤리</t>
        </is>
      </c>
      <c r="M16" s="27" t="inlineStr">
        <is>
          <t>합계</t>
        </is>
      </c>
      <c r="N16" s="27" t="inlineStr">
        <is>
          <t>등수</t>
        </is>
      </c>
    </row>
    <row r="17">
      <c r="A17" s="28" t="inlineStr">
        <is>
          <t>1029PO</t>
        </is>
      </c>
      <c r="B17" s="32" t="n">
        <v>27000</v>
      </c>
      <c r="C17" s="28" t="n"/>
      <c r="G17" s="28" t="inlineStr">
        <is>
          <t>NT-1028</t>
        </is>
      </c>
      <c r="H17" s="28" t="n">
        <v>18</v>
      </c>
      <c r="I17" s="28" t="n">
        <v>17</v>
      </c>
      <c r="J17" s="28" t="n">
        <v>16</v>
      </c>
      <c r="K17" s="28" t="n">
        <v>18</v>
      </c>
      <c r="L17" s="28" t="n">
        <v>16</v>
      </c>
      <c r="M17" s="28">
        <f>SUM(H17:L17)</f>
        <v/>
      </c>
      <c r="N17" s="28" t="n"/>
    </row>
    <row r="18">
      <c r="A18" s="28" t="inlineStr">
        <is>
          <t>2818OA</t>
        </is>
      </c>
      <c r="B18" s="32" t="n">
        <v>18500</v>
      </c>
      <c r="C18" s="28" t="n"/>
      <c r="G18" s="28" t="inlineStr">
        <is>
          <t>NT-1029</t>
        </is>
      </c>
      <c r="H18" s="28" t="n">
        <v>12</v>
      </c>
      <c r="I18" s="28" t="n">
        <v>14</v>
      </c>
      <c r="J18" s="28" t="n">
        <v>17</v>
      </c>
      <c r="K18" s="28" t="n">
        <v>13</v>
      </c>
      <c r="L18" s="28" t="n">
        <v>17</v>
      </c>
      <c r="M18" s="28">
        <f>SUM(H18:L18)</f>
        <v/>
      </c>
      <c r="N18" s="28" t="n"/>
    </row>
    <row r="19">
      <c r="A19" s="28" t="inlineStr">
        <is>
          <t>2111HP</t>
        </is>
      </c>
      <c r="B19" s="32" t="n">
        <v>4000</v>
      </c>
      <c r="C19" s="28" t="n"/>
      <c r="G19" s="28" t="inlineStr">
        <is>
          <t>NT-1030</t>
        </is>
      </c>
      <c r="H19" s="28" t="n">
        <v>6</v>
      </c>
      <c r="I19" s="28" t="n">
        <v>19</v>
      </c>
      <c r="J19" s="28" t="n">
        <v>12</v>
      </c>
      <c r="K19" s="28" t="n">
        <v>16</v>
      </c>
      <c r="L19" s="28" t="n">
        <v>12</v>
      </c>
      <c r="M19" s="28">
        <f>SUM(H19:L19)</f>
        <v/>
      </c>
      <c r="N19" s="28" t="n"/>
    </row>
    <row r="20">
      <c r="A20" s="28" t="inlineStr">
        <is>
          <t>2917PO</t>
        </is>
      </c>
      <c r="B20" s="32" t="n">
        <v>23500</v>
      </c>
      <c r="C20" s="28" t="n"/>
      <c r="G20" s="28" t="inlineStr">
        <is>
          <t>NT-1031</t>
        </is>
      </c>
      <c r="H20" s="28" t="n">
        <v>15</v>
      </c>
      <c r="I20" s="28" t="n">
        <v>18</v>
      </c>
      <c r="J20" s="28" t="n">
        <v>19</v>
      </c>
      <c r="K20" s="28" t="n">
        <v>19</v>
      </c>
      <c r="L20" s="28" t="n">
        <v>15</v>
      </c>
      <c r="M20" s="28">
        <f>SUM(H20:L20)</f>
        <v/>
      </c>
      <c r="N20" s="28" t="n"/>
    </row>
    <row r="21">
      <c r="A21" s="28" t="inlineStr">
        <is>
          <t>3880OA</t>
        </is>
      </c>
      <c r="B21" s="32" t="n">
        <v>1800</v>
      </c>
      <c r="C21" s="28" t="n"/>
      <c r="G21" s="28" t="inlineStr">
        <is>
          <t>NT-1032</t>
        </is>
      </c>
      <c r="H21" s="28" t="n">
        <v>12</v>
      </c>
      <c r="I21" s="28" t="n">
        <v>17</v>
      </c>
      <c r="J21" s="28" t="n">
        <v>19</v>
      </c>
      <c r="K21" s="28" t="n">
        <v>14</v>
      </c>
      <c r="L21" s="28" t="n">
        <v>12</v>
      </c>
      <c r="M21" s="28">
        <f>SUM(H21:L21)</f>
        <v/>
      </c>
      <c r="N21" s="28" t="n"/>
    </row>
    <row r="22">
      <c r="A22" s="28" t="inlineStr">
        <is>
          <t>3910PO</t>
        </is>
      </c>
      <c r="B22" s="32" t="n">
        <v>1500</v>
      </c>
      <c r="C22" s="28" t="n"/>
      <c r="G22" s="28" t="inlineStr">
        <is>
          <t>NT-1033</t>
        </is>
      </c>
      <c r="H22" s="28" t="n">
        <v>18</v>
      </c>
      <c r="I22" s="28" t="n">
        <v>17</v>
      </c>
      <c r="J22" s="28" t="n">
        <v>15</v>
      </c>
      <c r="K22" s="28" t="n">
        <v>16</v>
      </c>
      <c r="L22" s="28" t="n">
        <v>16</v>
      </c>
      <c r="M22" s="28">
        <f>SUM(H22:L22)</f>
        <v/>
      </c>
      <c r="N22" s="28" t="n"/>
    </row>
    <row r="23">
      <c r="A23" s="28" t="inlineStr">
        <is>
          <t>2828OA</t>
        </is>
      </c>
      <c r="B23" s="32" t="n">
        <v>18500</v>
      </c>
      <c r="C23" s="28" t="n"/>
      <c r="G23" s="28" t="inlineStr">
        <is>
          <t>NT-1034</t>
        </is>
      </c>
      <c r="H23" s="28" t="n">
        <v>12</v>
      </c>
      <c r="I23" s="28" t="n">
        <v>16</v>
      </c>
      <c r="J23" s="28" t="n">
        <v>9</v>
      </c>
      <c r="K23" s="28" t="n">
        <v>17</v>
      </c>
      <c r="L23" s="28" t="n">
        <v>12</v>
      </c>
      <c r="M23" s="28">
        <f>SUM(H23:L23)</f>
        <v/>
      </c>
      <c r="N23" s="28" t="n"/>
    </row>
    <row r="26">
      <c r="A26" s="14" t="inlineStr">
        <is>
          <t>[표5] 3월 자동차 판매실적</t>
        </is>
      </c>
    </row>
    <row r="27">
      <c r="A27" s="27" t="inlineStr">
        <is>
          <t>사원명</t>
        </is>
      </c>
      <c r="B27" s="27" t="inlineStr">
        <is>
          <t>판매지점</t>
        </is>
      </c>
      <c r="C27" s="27" t="inlineStr">
        <is>
          <t>아반떼</t>
        </is>
      </c>
      <c r="D27" s="27" t="inlineStr">
        <is>
          <t>소나타</t>
        </is>
      </c>
      <c r="E27" s="27" t="inlineStr">
        <is>
          <t>그랜져</t>
        </is>
      </c>
    </row>
    <row r="28">
      <c r="A28" s="28" t="inlineStr">
        <is>
          <t>오현서</t>
        </is>
      </c>
      <c r="B28" s="28" t="inlineStr">
        <is>
          <t>강남구</t>
        </is>
      </c>
      <c r="C28" s="28" t="n">
        <v>19</v>
      </c>
      <c r="D28" s="28" t="n">
        <v>28</v>
      </c>
      <c r="E28" s="28" t="n">
        <v>28</v>
      </c>
    </row>
    <row r="29">
      <c r="A29" s="28" t="inlineStr">
        <is>
          <t>우창현</t>
        </is>
      </c>
      <c r="B29" s="28" t="inlineStr">
        <is>
          <t>강동구</t>
        </is>
      </c>
      <c r="C29" s="28" t="n">
        <v>31</v>
      </c>
      <c r="D29" s="28" t="n">
        <v>12</v>
      </c>
      <c r="E29" s="28" t="n">
        <v>11</v>
      </c>
    </row>
    <row r="30">
      <c r="A30" s="28" t="inlineStr">
        <is>
          <t>임현철</t>
        </is>
      </c>
      <c r="B30" s="28" t="inlineStr">
        <is>
          <t>강서구</t>
        </is>
      </c>
      <c r="C30" s="28" t="n">
        <v>28</v>
      </c>
      <c r="D30" s="28" t="n">
        <v>14</v>
      </c>
      <c r="E30" s="28" t="n">
        <v>29</v>
      </c>
    </row>
    <row r="31">
      <c r="A31" s="28" t="inlineStr">
        <is>
          <t>지현우</t>
        </is>
      </c>
      <c r="B31" s="28" t="inlineStr">
        <is>
          <t>강남구</t>
        </is>
      </c>
      <c r="C31" s="28" t="n">
        <v>10</v>
      </c>
      <c r="D31" s="28" t="n">
        <v>4</v>
      </c>
      <c r="E31" s="28" t="n">
        <v>38</v>
      </c>
    </row>
    <row r="32">
      <c r="A32" s="28" t="inlineStr">
        <is>
          <t>진우찬</t>
        </is>
      </c>
      <c r="B32" s="28" t="inlineStr">
        <is>
          <t>중구</t>
        </is>
      </c>
      <c r="C32" s="28" t="n">
        <v>28</v>
      </c>
      <c r="D32" s="28" t="n">
        <v>39</v>
      </c>
      <c r="E32" s="28" t="n">
        <v>12</v>
      </c>
    </row>
    <row r="33">
      <c r="A33" s="28" t="inlineStr">
        <is>
          <t>최은정</t>
        </is>
      </c>
      <c r="B33" s="28" t="inlineStr">
        <is>
          <t>은평구</t>
        </is>
      </c>
      <c r="C33" s="28" t="n">
        <v>50</v>
      </c>
      <c r="D33" s="28" t="n">
        <v>15</v>
      </c>
      <c r="E33" s="28" t="n">
        <v>9</v>
      </c>
    </row>
    <row r="34">
      <c r="A34" s="28" t="inlineStr">
        <is>
          <t>최은혁</t>
        </is>
      </c>
      <c r="B34" s="28" t="inlineStr">
        <is>
          <t>강서구</t>
        </is>
      </c>
      <c r="C34" s="28" t="n">
        <v>29</v>
      </c>
      <c r="D34" s="28" t="n">
        <v>31</v>
      </c>
      <c r="E34" s="28" t="n">
        <v>19</v>
      </c>
    </row>
    <row r="35">
      <c r="A35" s="28" t="inlineStr">
        <is>
          <t>한은주</t>
        </is>
      </c>
      <c r="B35" s="28" t="inlineStr">
        <is>
          <t>강남구</t>
        </is>
      </c>
      <c r="C35" s="28" t="n">
        <v>19</v>
      </c>
      <c r="D35" s="28" t="n">
        <v>12</v>
      </c>
      <c r="E35" s="28" t="n">
        <v>28</v>
      </c>
    </row>
    <row r="37">
      <c r="B37" s="27" t="inlineStr">
        <is>
          <t>판매지점</t>
        </is>
      </c>
      <c r="C37" s="27" t="inlineStr">
        <is>
          <t>소나타</t>
        </is>
      </c>
      <c r="D37" s="27" t="inlineStr">
        <is>
          <t>소나타 평균판매수</t>
        </is>
      </c>
      <c r="E37" s="33" t="n"/>
    </row>
    <row r="38">
      <c r="B38" s="28" t="n"/>
      <c r="C38" s="28" t="n"/>
      <c r="D38" s="28" t="n"/>
      <c r="E38" s="33" t="n"/>
    </row>
  </sheetData>
  <mergeCells count="2">
    <mergeCell ref="D38:E38"/>
    <mergeCell ref="D37:E3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outlinePr summaryBelow="1" summaryRight="1"/>
    <pageSetUpPr/>
  </sheetPr>
  <dimension ref="A1:G15"/>
  <sheetViews>
    <sheetView zoomScale="74" workbookViewId="0">
      <selection activeCell="G3" sqref="A3:G3"/>
    </sheetView>
  </sheetViews>
  <sheetFormatPr baseColWidth="8" defaultRowHeight="16.5"/>
  <cols>
    <col width="10.75" customWidth="1" style="29" min="2" max="2"/>
    <col width="11.875" customWidth="1" style="29" min="3" max="3"/>
    <col width="8.875" bestFit="1" customWidth="1" style="29" min="4" max="4"/>
    <col width="12.75" bestFit="1" customWidth="1" style="29" min="5" max="5"/>
    <col width="8.875" bestFit="1" customWidth="1" style="29" min="6" max="6"/>
    <col width="12.75" bestFit="1" customWidth="1" style="29" min="7" max="7"/>
  </cols>
  <sheetData>
    <row r="1">
      <c r="A1" s="26" t="inlineStr">
        <is>
          <t>주방가전 판매 현황</t>
        </is>
      </c>
    </row>
    <row r="3">
      <c r="A3" s="27" t="inlineStr">
        <is>
          <t>판매코드</t>
        </is>
      </c>
      <c r="B3" s="27" t="inlineStr">
        <is>
          <t>판매처</t>
        </is>
      </c>
      <c r="C3" s="27" t="inlineStr">
        <is>
          <t>물품</t>
        </is>
      </c>
      <c r="D3" s="27" t="inlineStr">
        <is>
          <t>목표량</t>
        </is>
      </c>
      <c r="E3" s="27" t="inlineStr">
        <is>
          <t>목표액</t>
        </is>
      </c>
      <c r="F3" s="27" t="inlineStr">
        <is>
          <t>판매량</t>
        </is>
      </c>
      <c r="G3" s="27" t="inlineStr">
        <is>
          <t>매출액</t>
        </is>
      </c>
    </row>
    <row r="4">
      <c r="A4" s="28" t="inlineStr">
        <is>
          <t>C92s9</t>
        </is>
      </c>
      <c r="B4" s="28" t="inlineStr">
        <is>
          <t>쿠팡</t>
        </is>
      </c>
      <c r="C4" s="28" t="inlineStr">
        <is>
          <t>전자레인지</t>
        </is>
      </c>
      <c r="D4" s="32" t="n">
        <v>200</v>
      </c>
      <c r="E4" s="32">
        <f>159000*200</f>
        <v/>
      </c>
      <c r="F4" s="32" t="n">
        <v>158</v>
      </c>
      <c r="G4" s="32">
        <f>159000*158</f>
        <v/>
      </c>
    </row>
    <row r="5">
      <c r="A5" s="28" t="inlineStr">
        <is>
          <t>W3u11</t>
        </is>
      </c>
      <c r="B5" s="28" t="inlineStr">
        <is>
          <t>위메프</t>
        </is>
      </c>
      <c r="C5" s="28" t="inlineStr">
        <is>
          <t>전자레인지</t>
        </is>
      </c>
      <c r="D5" s="32" t="n">
        <v>150</v>
      </c>
      <c r="E5" s="32">
        <f>140000*150</f>
        <v/>
      </c>
      <c r="F5" s="32" t="n">
        <v>161</v>
      </c>
      <c r="G5" s="32">
        <f>140000*161</f>
        <v/>
      </c>
    </row>
    <row r="6">
      <c r="A6" s="28" t="inlineStr">
        <is>
          <t>N1182</t>
        </is>
      </c>
      <c r="B6" s="28" t="inlineStr">
        <is>
          <t>네이버</t>
        </is>
      </c>
      <c r="C6" s="28" t="inlineStr">
        <is>
          <t>믹서기</t>
        </is>
      </c>
      <c r="D6" s="32" t="n">
        <v>200</v>
      </c>
      <c r="E6" s="32">
        <f>200*119000</f>
        <v/>
      </c>
      <c r="F6" s="32" t="n">
        <v>210</v>
      </c>
      <c r="G6" s="32">
        <f>119000*210</f>
        <v/>
      </c>
    </row>
    <row r="7">
      <c r="A7" s="28" t="inlineStr">
        <is>
          <t>I9191w</t>
        </is>
      </c>
      <c r="B7" s="28" t="inlineStr">
        <is>
          <t>인터파크</t>
        </is>
      </c>
      <c r="C7" s="28" t="inlineStr">
        <is>
          <t>믹서기</t>
        </is>
      </c>
      <c r="D7" s="32" t="n">
        <v>200</v>
      </c>
      <c r="E7" s="32">
        <f>200*159000</f>
        <v/>
      </c>
      <c r="F7" s="32" t="n">
        <v>218</v>
      </c>
      <c r="G7" s="32">
        <f>159000*218</f>
        <v/>
      </c>
    </row>
    <row r="8">
      <c r="A8" s="28" t="inlineStr">
        <is>
          <t>W3u12</t>
        </is>
      </c>
      <c r="B8" s="28" t="inlineStr">
        <is>
          <t>위메프</t>
        </is>
      </c>
      <c r="C8" s="28" t="inlineStr">
        <is>
          <t>진공포장기</t>
        </is>
      </c>
      <c r="D8" s="32" t="n">
        <v>500</v>
      </c>
      <c r="E8" s="32">
        <f>500*169000</f>
        <v/>
      </c>
      <c r="F8" s="32" t="n">
        <v>498</v>
      </c>
      <c r="G8" s="32">
        <f>169000*498</f>
        <v/>
      </c>
    </row>
    <row r="9">
      <c r="A9" s="28" t="inlineStr">
        <is>
          <t>C91s1</t>
        </is>
      </c>
      <c r="B9" s="28" t="inlineStr">
        <is>
          <t>쿠팡</t>
        </is>
      </c>
      <c r="C9" s="28" t="inlineStr">
        <is>
          <t>에어프라이어</t>
        </is>
      </c>
      <c r="D9" s="32" t="n">
        <v>350</v>
      </c>
      <c r="E9" s="32">
        <f>350*121000</f>
        <v/>
      </c>
      <c r="F9" s="32" t="n">
        <v>357</v>
      </c>
      <c r="G9" s="32">
        <f>121000*357</f>
        <v/>
      </c>
    </row>
    <row r="10">
      <c r="A10" s="28" t="inlineStr">
        <is>
          <t>W3u82</t>
        </is>
      </c>
      <c r="B10" s="28" t="inlineStr">
        <is>
          <t>위메프</t>
        </is>
      </c>
      <c r="C10" s="28" t="inlineStr">
        <is>
          <t>믹서기</t>
        </is>
      </c>
      <c r="D10" s="32" t="n">
        <v>100</v>
      </c>
      <c r="E10" s="32">
        <f>100*134000</f>
        <v/>
      </c>
      <c r="F10" s="32" t="n">
        <v>160</v>
      </c>
      <c r="G10" s="32">
        <f>143000*160</f>
        <v/>
      </c>
    </row>
    <row r="11">
      <c r="A11" s="28" t="inlineStr">
        <is>
          <t>N2817</t>
        </is>
      </c>
      <c r="B11" s="28" t="inlineStr">
        <is>
          <t>네이버</t>
        </is>
      </c>
      <c r="C11" s="28" t="inlineStr">
        <is>
          <t>전자레인지</t>
        </is>
      </c>
      <c r="D11" s="32" t="n">
        <v>300</v>
      </c>
      <c r="E11" s="32">
        <f>300*210000</f>
        <v/>
      </c>
      <c r="F11" s="32" t="n">
        <v>310</v>
      </c>
      <c r="G11" s="32">
        <f>210000*310</f>
        <v/>
      </c>
    </row>
    <row r="12">
      <c r="A12" s="28" t="inlineStr">
        <is>
          <t>C92s1</t>
        </is>
      </c>
      <c r="B12" s="28" t="inlineStr">
        <is>
          <t>쿠팡</t>
        </is>
      </c>
      <c r="C12" s="28" t="inlineStr">
        <is>
          <t>진공포장기</t>
        </is>
      </c>
      <c r="D12" s="32" t="n">
        <v>200</v>
      </c>
      <c r="E12" s="32">
        <f>200*153000</f>
        <v/>
      </c>
      <c r="F12" s="32" t="n">
        <v>250</v>
      </c>
      <c r="G12" s="32">
        <f>153000*250</f>
        <v/>
      </c>
    </row>
    <row r="13">
      <c r="A13" s="28" t="inlineStr">
        <is>
          <t>C92s5</t>
        </is>
      </c>
      <c r="B13" s="28" t="inlineStr">
        <is>
          <t>쿠팡</t>
        </is>
      </c>
      <c r="C13" s="28" t="inlineStr">
        <is>
          <t>믹서기</t>
        </is>
      </c>
      <c r="D13" s="32" t="n">
        <v>550</v>
      </c>
      <c r="E13" s="32">
        <f>550*121000</f>
        <v/>
      </c>
      <c r="F13" s="32" t="n">
        <v>541</v>
      </c>
      <c r="G13" s="32">
        <f>121000*541</f>
        <v/>
      </c>
    </row>
    <row r="14">
      <c r="A14" s="28" t="inlineStr">
        <is>
          <t>I9121s</t>
        </is>
      </c>
      <c r="B14" s="28" t="inlineStr">
        <is>
          <t>인터파크</t>
        </is>
      </c>
      <c r="C14" s="28" t="inlineStr">
        <is>
          <t>믹서기</t>
        </is>
      </c>
      <c r="D14" s="32" t="n">
        <v>350</v>
      </c>
      <c r="E14" s="32">
        <f>350*89000</f>
        <v/>
      </c>
      <c r="F14" s="32" t="n">
        <v>372</v>
      </c>
      <c r="G14" s="32">
        <f>89000*372</f>
        <v/>
      </c>
    </row>
    <row r="15">
      <c r="D15" s="30" t="n"/>
      <c r="E15" s="30" t="n"/>
      <c r="F15" s="30" t="n"/>
      <c r="G15" s="30" t="n"/>
    </row>
  </sheetData>
  <mergeCells count="1">
    <mergeCell ref="A1:G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outlinePr summaryBelow="1" summaryRight="1"/>
    <pageSetUpPr/>
  </sheetPr>
  <dimension ref="A1:D16"/>
  <sheetViews>
    <sheetView zoomScale="79" workbookViewId="0">
      <selection activeCell="G15" sqref="G15"/>
    </sheetView>
  </sheetViews>
  <sheetFormatPr baseColWidth="8" defaultRowHeight="16.5"/>
  <cols>
    <col width="8.75" customWidth="1" style="29" min="2" max="2"/>
    <col width="13.125" bestFit="1" customWidth="1" style="29" min="3" max="3"/>
  </cols>
  <sheetData>
    <row r="1">
      <c r="A1" s="26" t="inlineStr">
        <is>
          <t>문화강좌 안내</t>
        </is>
      </c>
    </row>
    <row r="3">
      <c r="A3" s="27" t="inlineStr">
        <is>
          <t>개강월</t>
        </is>
      </c>
      <c r="B3" s="27" t="inlineStr">
        <is>
          <t>구분</t>
        </is>
      </c>
      <c r="C3" s="27" t="inlineStr">
        <is>
          <t>종류</t>
        </is>
      </c>
      <c r="D3" s="27" t="inlineStr">
        <is>
          <t>모집인원</t>
        </is>
      </c>
    </row>
    <row r="4">
      <c r="A4" s="17" t="inlineStr">
        <is>
          <t>1월</t>
        </is>
      </c>
      <c r="B4" s="28" t="inlineStr">
        <is>
          <t>인형</t>
        </is>
      </c>
      <c r="C4" s="28" t="inlineStr">
        <is>
          <t>손뜨개인형</t>
        </is>
      </c>
      <c r="D4" s="28" t="n">
        <v>20</v>
      </c>
    </row>
    <row r="5">
      <c r="A5" s="28" t="inlineStr">
        <is>
          <t>2월</t>
        </is>
      </c>
      <c r="B5" s="28" t="inlineStr">
        <is>
          <t>화훼</t>
        </is>
      </c>
      <c r="C5" s="28" t="inlineStr">
        <is>
          <t>다육아트</t>
        </is>
      </c>
      <c r="D5" s="28" t="n">
        <v>23</v>
      </c>
    </row>
    <row r="6">
      <c r="A6" s="17" t="inlineStr">
        <is>
          <t>1월</t>
        </is>
      </c>
      <c r="B6" s="28" t="inlineStr">
        <is>
          <t>공예</t>
        </is>
      </c>
      <c r="C6" s="28" t="inlineStr">
        <is>
          <t>가죽공예</t>
        </is>
      </c>
      <c r="D6" s="28" t="n">
        <v>35</v>
      </c>
    </row>
    <row r="7">
      <c r="A7" s="17" t="inlineStr">
        <is>
          <t>1월</t>
        </is>
      </c>
      <c r="B7" s="28" t="inlineStr">
        <is>
          <t>미술</t>
        </is>
      </c>
      <c r="C7" s="28" t="inlineStr">
        <is>
          <t>POP</t>
        </is>
      </c>
      <c r="D7" s="28" t="n">
        <v>40</v>
      </c>
    </row>
    <row r="8">
      <c r="A8" s="28" t="inlineStr">
        <is>
          <t>2월</t>
        </is>
      </c>
      <c r="B8" s="28" t="inlineStr">
        <is>
          <t>화훼</t>
        </is>
      </c>
      <c r="C8" s="28" t="inlineStr">
        <is>
          <t>다육아트</t>
        </is>
      </c>
      <c r="D8" s="28" t="n">
        <v>20</v>
      </c>
    </row>
    <row r="9">
      <c r="A9" s="17" t="inlineStr">
        <is>
          <t>1월</t>
        </is>
      </c>
      <c r="B9" s="28" t="inlineStr">
        <is>
          <t>공예</t>
        </is>
      </c>
      <c r="C9" s="28" t="inlineStr">
        <is>
          <t>비즈공예</t>
        </is>
      </c>
      <c r="D9" s="28" t="n">
        <v>20</v>
      </c>
    </row>
    <row r="10">
      <c r="A10" s="17" t="inlineStr">
        <is>
          <t>1월</t>
        </is>
      </c>
      <c r="B10" s="28" t="inlineStr">
        <is>
          <t>인형</t>
        </is>
      </c>
      <c r="C10" s="28" t="inlineStr">
        <is>
          <t>드레스인형</t>
        </is>
      </c>
      <c r="D10" s="28" t="n">
        <v>15</v>
      </c>
    </row>
    <row r="11">
      <c r="A11" s="28" t="inlineStr">
        <is>
          <t>2월</t>
        </is>
      </c>
      <c r="B11" s="28" t="inlineStr">
        <is>
          <t>공예</t>
        </is>
      </c>
      <c r="C11" s="28" t="inlineStr">
        <is>
          <t>미니어쳐</t>
        </is>
      </c>
      <c r="D11" s="28" t="n">
        <v>20</v>
      </c>
    </row>
    <row r="12">
      <c r="A12" s="28" t="inlineStr">
        <is>
          <t>2월</t>
        </is>
      </c>
      <c r="B12" s="28" t="inlineStr">
        <is>
          <t>미술</t>
        </is>
      </c>
      <c r="C12" s="28" t="inlineStr">
        <is>
          <t>POP</t>
        </is>
      </c>
      <c r="D12" s="28" t="n">
        <v>10</v>
      </c>
    </row>
    <row r="13">
      <c r="A13" s="17" t="inlineStr">
        <is>
          <t>1월</t>
        </is>
      </c>
      <c r="B13" s="28" t="inlineStr">
        <is>
          <t>종이</t>
        </is>
      </c>
      <c r="C13" s="28" t="inlineStr">
        <is>
          <t>한지공예</t>
        </is>
      </c>
      <c r="D13" s="28" t="n">
        <v>10</v>
      </c>
    </row>
    <row r="14">
      <c r="A14" s="28" t="inlineStr">
        <is>
          <t>2월</t>
        </is>
      </c>
      <c r="B14" s="28" t="inlineStr">
        <is>
          <t>커피</t>
        </is>
      </c>
      <c r="C14" s="28" t="inlineStr">
        <is>
          <t>바리스타</t>
        </is>
      </c>
      <c r="D14" s="28" t="n">
        <v>25</v>
      </c>
    </row>
    <row r="15">
      <c r="A15" s="28" t="inlineStr">
        <is>
          <t>2월</t>
        </is>
      </c>
      <c r="B15" s="28" t="inlineStr">
        <is>
          <t>종이</t>
        </is>
      </c>
      <c r="C15" s="28" t="inlineStr">
        <is>
          <t>선물포장</t>
        </is>
      </c>
      <c r="D15" s="28" t="n">
        <v>12</v>
      </c>
    </row>
    <row r="16">
      <c r="A16" s="28" t="inlineStr">
        <is>
          <t>2월</t>
        </is>
      </c>
      <c r="B16" s="28" t="inlineStr">
        <is>
          <t>공예</t>
        </is>
      </c>
      <c r="C16" s="28" t="inlineStr">
        <is>
          <t>미니어쳐</t>
        </is>
      </c>
      <c r="D16" s="28" t="n">
        <v>10</v>
      </c>
    </row>
  </sheetData>
  <mergeCells count="1">
    <mergeCell ref="A1:D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outlinePr summaryBelow="1" summaryRight="1"/>
    <pageSetUpPr/>
  </sheetPr>
  <dimension ref="A1:E9"/>
  <sheetViews>
    <sheetView workbookViewId="0">
      <selection activeCell="A1" sqref="A1:XFD1048576"/>
    </sheetView>
  </sheetViews>
  <sheetFormatPr baseColWidth="8" defaultRowHeight="16.5"/>
  <cols>
    <col width="12.25" customWidth="1" style="29" min="1" max="1"/>
  </cols>
  <sheetData>
    <row r="1">
      <c r="A1" s="26" t="inlineStr">
        <is>
          <t>베이커리 판매 현황</t>
        </is>
      </c>
    </row>
    <row r="2">
      <c r="E2" s="0" t="inlineStr">
        <is>
          <t>(단위:개)</t>
        </is>
      </c>
    </row>
    <row r="3">
      <c r="A3" s="32" t="inlineStr">
        <is>
          <t>품목</t>
        </is>
      </c>
      <c r="B3" s="32" t="inlineStr">
        <is>
          <t>1월</t>
        </is>
      </c>
      <c r="C3" s="32" t="inlineStr">
        <is>
          <t>2월</t>
        </is>
      </c>
      <c r="D3" s="32" t="inlineStr">
        <is>
          <t>3월</t>
        </is>
      </c>
      <c r="E3" s="32" t="inlineStr">
        <is>
          <t>합계</t>
        </is>
      </c>
    </row>
    <row r="4">
      <c r="A4" s="32" t="inlineStr">
        <is>
          <t>우유식빵</t>
        </is>
      </c>
      <c r="B4" s="32" t="n">
        <v>38</v>
      </c>
      <c r="C4" s="32" t="n">
        <v>63</v>
      </c>
      <c r="D4" s="32" t="n">
        <v>45</v>
      </c>
      <c r="E4" s="32" t="n"/>
    </row>
    <row r="5">
      <c r="A5" s="32" t="inlineStr">
        <is>
          <t>스위티 몽블랑</t>
        </is>
      </c>
      <c r="B5" s="32" t="n">
        <v>12</v>
      </c>
      <c r="C5" s="32" t="n">
        <v>24</v>
      </c>
      <c r="D5" s="32" t="n">
        <v>21</v>
      </c>
      <c r="E5" s="32" t="n"/>
    </row>
    <row r="6">
      <c r="A6" s="32" t="inlineStr">
        <is>
          <t>슈크림도넛</t>
        </is>
      </c>
      <c r="B6" s="32" t="n">
        <v>67</v>
      </c>
      <c r="C6" s="32" t="n">
        <v>61</v>
      </c>
      <c r="D6" s="32" t="n">
        <v>77</v>
      </c>
      <c r="E6" s="32" t="n"/>
    </row>
    <row r="7">
      <c r="A7" s="32" t="inlineStr">
        <is>
          <t>통소시지빵</t>
        </is>
      </c>
      <c r="B7" s="32" t="n">
        <v>78</v>
      </c>
      <c r="C7" s="32" t="n">
        <v>32</v>
      </c>
      <c r="D7" s="32" t="n">
        <v>62</v>
      </c>
      <c r="E7" s="32" t="n"/>
    </row>
    <row r="8">
      <c r="A8" s="32" t="inlineStr">
        <is>
          <t>애플파이</t>
        </is>
      </c>
      <c r="B8" s="32" t="n">
        <v>68</v>
      </c>
      <c r="C8" s="32" t="n">
        <v>75</v>
      </c>
      <c r="D8" s="32" t="n">
        <v>45</v>
      </c>
      <c r="E8" s="32" t="n"/>
    </row>
    <row r="9">
      <c r="A9" s="32" t="inlineStr">
        <is>
          <t>요거트샌드</t>
        </is>
      </c>
      <c r="B9" s="32" t="n">
        <v>68</v>
      </c>
      <c r="C9" s="32" t="n">
        <v>88</v>
      </c>
      <c r="D9" s="32" t="n">
        <v>78</v>
      </c>
      <c r="E9" s="32" t="n"/>
    </row>
  </sheetData>
  <mergeCells count="1">
    <mergeCell ref="A1:E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outlinePr summaryBelow="1" summaryRight="1"/>
    <pageSetUpPr/>
  </sheetPr>
  <dimension ref="A1:D10"/>
  <sheetViews>
    <sheetView zoomScale="80" workbookViewId="0">
      <selection activeCell="A1" sqref="A1:XFD1048576"/>
    </sheetView>
  </sheetViews>
  <sheetFormatPr baseColWidth="8" defaultRowHeight="16.5"/>
  <cols>
    <col width="8.875" bestFit="1" customWidth="1" style="29" min="2" max="3"/>
    <col width="9.25" bestFit="1" customWidth="1" style="29" min="4" max="4"/>
  </cols>
  <sheetData>
    <row r="1">
      <c r="A1" s="26" t="inlineStr">
        <is>
          <t xml:space="preserve">문화생활 지출 비용 </t>
        </is>
      </c>
    </row>
    <row r="2">
      <c r="D2" s="0" t="inlineStr">
        <is>
          <t>(단위:원)</t>
        </is>
      </c>
    </row>
    <row r="3">
      <c r="A3" s="32" t="inlineStr">
        <is>
          <t>이름</t>
        </is>
      </c>
      <c r="B3" s="32" t="inlineStr">
        <is>
          <t>영화</t>
        </is>
      </c>
      <c r="C3" s="32" t="inlineStr">
        <is>
          <t>연극</t>
        </is>
      </c>
      <c r="D3" s="32" t="inlineStr">
        <is>
          <t>뮤지컬</t>
        </is>
      </c>
    </row>
    <row r="4">
      <c r="A4" s="32" t="inlineStr">
        <is>
          <t>고은주</t>
        </is>
      </c>
      <c r="B4" s="32" t="n">
        <v>16000</v>
      </c>
      <c r="C4" s="32" t="n">
        <v>30000</v>
      </c>
      <c r="D4" s="32" t="n">
        <v>0</v>
      </c>
    </row>
    <row r="5">
      <c r="A5" s="32" t="inlineStr">
        <is>
          <t>김지선</t>
        </is>
      </c>
      <c r="B5" s="32" t="n">
        <v>22000</v>
      </c>
      <c r="C5" s="32" t="n">
        <v>60000</v>
      </c>
      <c r="D5" s="32" t="n">
        <v>160000</v>
      </c>
    </row>
    <row r="6">
      <c r="A6" s="32" t="inlineStr">
        <is>
          <t>오현지</t>
        </is>
      </c>
      <c r="B6" s="32" t="n">
        <v>8000</v>
      </c>
      <c r="C6" s="32" t="n">
        <v>40000</v>
      </c>
      <c r="D6" s="32" t="n">
        <v>80000</v>
      </c>
    </row>
    <row r="7">
      <c r="A7" s="32" t="inlineStr">
        <is>
          <t>임지민</t>
        </is>
      </c>
      <c r="B7" s="32" t="n">
        <v>44000</v>
      </c>
      <c r="C7" s="32" t="n">
        <v>30000</v>
      </c>
      <c r="D7" s="32" t="n">
        <v>120000</v>
      </c>
    </row>
    <row r="8">
      <c r="A8" s="32" t="inlineStr">
        <is>
          <t>지선우</t>
        </is>
      </c>
      <c r="B8" s="32" t="n">
        <v>16000</v>
      </c>
      <c r="C8" s="32" t="n">
        <v>40000</v>
      </c>
      <c r="D8" s="32" t="n">
        <v>180000</v>
      </c>
    </row>
    <row r="9">
      <c r="A9" s="32" t="inlineStr">
        <is>
          <t>최우현</t>
        </is>
      </c>
      <c r="B9" s="32" t="n">
        <v>16000</v>
      </c>
      <c r="C9" s="32" t="n">
        <v>20000</v>
      </c>
      <c r="D9" s="32" t="n">
        <v>320000</v>
      </c>
    </row>
    <row r="10">
      <c r="A10" s="32" t="inlineStr">
        <is>
          <t>하윤지</t>
        </is>
      </c>
      <c r="B10" s="32" t="n">
        <v>22000</v>
      </c>
      <c r="C10" s="32" t="n">
        <v>30000</v>
      </c>
      <c r="D10" s="32" t="n">
        <v>80000</v>
      </c>
    </row>
  </sheetData>
  <mergeCells count="1">
    <mergeCell ref="A1:D1"/>
  </mergeCells>
  <pageMargins left="0.7" right="0.7" top="0.75" bottom="0.75" header="0.3" footer="0.3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SAMSUNG</dc:creator>
  <dcterms:created xmlns:dcterms="http://purl.org/dc/terms/" xmlns:xsi="http://www.w3.org/2001/XMLSchema-instance" xsi:type="dcterms:W3CDTF">2021-03-13T14:21:08Z</dcterms:created>
  <dcterms:modified xmlns:dcterms="http://purl.org/dc/terms/" xmlns:xsi="http://www.w3.org/2001/XMLSchema-instance" xsi:type="dcterms:W3CDTF">2026-06-06T06:34:18Z</dcterms:modified>
  <cp:lastModifiedBy>Administrator</cp:lastModifiedBy>
</cp:coreProperties>
</file>