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3570" yWindow="1650" windowWidth="20100" windowHeight="18195" tabRatio="922" firstSheet="3" autoFilterDateGrouping="1"/>
  </bookViews>
  <sheets>
    <sheet xmlns:r="http://schemas.openxmlformats.org/officeDocument/2006/relationships" name="기본작업-1" sheetId="1" state="visible" r:id="rId1"/>
    <sheet xmlns:r="http://schemas.openxmlformats.org/officeDocument/2006/relationships" name="기본작업-2" sheetId="2" state="visible" r:id="rId2"/>
    <sheet xmlns:r="http://schemas.openxmlformats.org/officeDocument/2006/relationships" name="기본작업-3" sheetId="3" state="visible" r:id="rId3"/>
    <sheet xmlns:r="http://schemas.openxmlformats.org/officeDocument/2006/relationships" name="계산작업" sheetId="4" state="visible" r:id="rId4"/>
    <sheet xmlns:r="http://schemas.openxmlformats.org/officeDocument/2006/relationships" name="분석작업-1" sheetId="5" state="visible" r:id="rId5"/>
    <sheet xmlns:r="http://schemas.openxmlformats.org/officeDocument/2006/relationships" name="분석작업-2" sheetId="6" state="visible" r:id="rId6"/>
    <sheet xmlns:r="http://schemas.openxmlformats.org/officeDocument/2006/relationships" name="매크로작업" sheetId="7" state="visible" r:id="rId7"/>
    <sheet xmlns:r="http://schemas.openxmlformats.org/officeDocument/2006/relationships" name="차트작업" sheetId="8" state="visible" r:id="rId8"/>
  </sheets>
  <definedNames/>
  <calcPr calcId="181029" fullCalcOnLoad="1"/>
</workbook>
</file>

<file path=xl/styles.xml><?xml version="1.0" encoding="utf-8"?>
<styleSheet xmlns="http://schemas.openxmlformats.org/spreadsheetml/2006/main">
  <numFmts count="6">
    <numFmt numFmtId="164" formatCode="_-* #,##0_-;\-* #,##0_-;_-* &quot;-&quot;_-;_-@_-"/>
    <numFmt numFmtId="165" formatCode="yyyy&quot;년&quot;\ mm&quot;월&quot;\ dd&quot;일&quot;\ \(aaaa\)"/>
    <numFmt numFmtId="166" formatCode="#&quot;번&quot;&quot;째&quot;"/>
    <numFmt numFmtId="167" formatCode="hh:mm\ AM/PM"/>
    <numFmt numFmtId="168" formatCode="#&quot;ml&quot;"/>
    <numFmt numFmtId="169" formatCode="mm&quot;월&quot;\ dd&quot;일&quot;"/>
  </numFmts>
  <fonts count="10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color theme="1"/>
      <sz val="11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2"/>
      <color rgb="FFFF0000"/>
      <sz val="11"/>
      <scheme val="minor"/>
    </font>
    <font>
      <name val="굴림체"/>
      <charset val="129"/>
      <family val="3"/>
      <b val="1"/>
      <color theme="1"/>
      <sz val="24"/>
    </font>
    <font>
      <name val="맑은 고딕"/>
      <charset val="129"/>
      <family val="3"/>
      <color rgb="FF000000"/>
      <sz val="11"/>
    </font>
    <font>
      <name val="맑은 고딕"/>
      <charset val="129"/>
      <family val="2"/>
      <b val="1"/>
      <color theme="1"/>
      <sz val="11"/>
      <scheme val="minor"/>
    </font>
  </fonts>
  <fills count="6">
    <fill>
      <patternFill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3" fillId="0" borderId="0" applyAlignment="1">
      <alignment vertical="center"/>
    </xf>
    <xf numFmtId="164" fontId="3" fillId="0" borderId="0" applyAlignment="1">
      <alignment vertical="center"/>
    </xf>
  </cellStyleXfs>
  <cellXfs count="82">
    <xf numFmtId="0" fontId="0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3" fontId="0" fillId="0" borderId="0" applyAlignment="1" pivotButton="0" quotePrefix="0" xfId="0">
      <alignment vertical="center"/>
    </xf>
    <xf numFmtId="0" fontId="0" fillId="0" borderId="6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64" fontId="0" fillId="0" borderId="1" applyAlignment="1" pivotButton="0" quotePrefix="0" xfId="1">
      <alignment vertical="center"/>
    </xf>
    <xf numFmtId="0" fontId="0" fillId="0" borderId="1" applyAlignment="1" pivotButton="0" quotePrefix="0" xfId="0">
      <alignment vertical="center"/>
    </xf>
    <xf numFmtId="164" fontId="0" fillId="0" borderId="5" applyAlignment="1" pivotButton="0" quotePrefix="0" xfId="1">
      <alignment vertical="center"/>
    </xf>
    <xf numFmtId="0" fontId="0" fillId="0" borderId="5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1">
      <alignment horizontal="center" vertical="center"/>
    </xf>
    <xf numFmtId="0" fontId="0" fillId="0" borderId="0" applyAlignment="1" pivotButton="0" quotePrefix="0" xfId="0">
      <alignment vertical="center"/>
    </xf>
    <xf numFmtId="0" fontId="5" fillId="0" borderId="1" applyAlignment="1" pivotButton="0" quotePrefix="0" xfId="0">
      <alignment horizontal="center" vertical="center"/>
    </xf>
    <xf numFmtId="3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49" fontId="0" fillId="0" borderId="0" applyAlignment="1" pivotButton="0" quotePrefix="0" xfId="0">
      <alignment vertical="center"/>
    </xf>
    <xf numFmtId="49" fontId="0" fillId="0" borderId="0" applyAlignment="1" pivotButton="0" quotePrefix="1" xfId="0">
      <alignment vertical="center"/>
    </xf>
    <xf numFmtId="14" fontId="2" fillId="0" borderId="0" applyAlignment="1" pivotButton="0" quotePrefix="0" xfId="0">
      <alignment vertical="center"/>
    </xf>
    <xf numFmtId="165" fontId="0" fillId="0" borderId="0" applyAlignment="1" pivotButton="0" quotePrefix="0" xfId="0">
      <alignment vertical="center"/>
    </xf>
    <xf numFmtId="165" fontId="2" fillId="0" borderId="0" applyAlignment="1" pivotButton="0" quotePrefix="0" xfId="0">
      <alignment vertical="center"/>
    </xf>
    <xf numFmtId="166" fontId="0" fillId="0" borderId="1" applyAlignment="1" pivotButton="0" quotePrefix="0" xfId="0">
      <alignment horizontal="center" vertical="center"/>
    </xf>
    <xf numFmtId="166" fontId="4" fillId="0" borderId="1" applyAlignment="1" pivotButton="0" quotePrefix="0" xfId="0">
      <alignment horizontal="center" vertical="center"/>
    </xf>
    <xf numFmtId="167" fontId="0" fillId="0" borderId="1" applyAlignment="1" pivotButton="0" quotePrefix="0" xfId="0">
      <alignment horizontal="center" vertical="center"/>
    </xf>
    <xf numFmtId="167" fontId="6" fillId="0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0" fillId="3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9" applyAlignment="1" pivotButton="0" quotePrefix="0" xfId="1">
      <alignment vertical="center"/>
    </xf>
    <xf numFmtId="0" fontId="0" fillId="0" borderId="9" applyAlignment="1" pivotButton="0" quotePrefix="0" xfId="0">
      <alignment vertical="center"/>
    </xf>
    <xf numFmtId="0" fontId="5" fillId="0" borderId="11" applyAlignment="1" pivotButton="0" quotePrefix="0" xfId="0">
      <alignment horizontal="center" vertical="center"/>
    </xf>
    <xf numFmtId="0" fontId="5" fillId="0" borderId="12" applyAlignment="1" pivotButton="0" quotePrefix="0" xfId="0">
      <alignment horizontal="center" vertical="center"/>
    </xf>
    <xf numFmtId="0" fontId="5" fillId="0" borderId="12" applyAlignment="1" pivotButton="0" quotePrefix="0" xfId="0">
      <alignment horizontal="center" vertical="center"/>
    </xf>
    <xf numFmtId="0" fontId="5" fillId="0" borderId="13" applyAlignment="1" pivotButton="0" quotePrefix="0" xfId="0">
      <alignment horizontal="center" vertical="center"/>
    </xf>
    <xf numFmtId="0" fontId="0" fillId="0" borderId="10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49" fontId="0" fillId="0" borderId="8" applyAlignment="1" pivotButton="0" quotePrefix="0" xfId="0">
      <alignment horizontal="center" vertical="center"/>
    </xf>
    <xf numFmtId="49" fontId="0" fillId="0" borderId="2" applyAlignment="1" pivotButton="0" quotePrefix="0" xfId="0">
      <alignment horizontal="center" vertical="center"/>
    </xf>
    <xf numFmtId="49" fontId="0" fillId="0" borderId="4" applyAlignment="1" pivotButton="0" quotePrefix="0" xfId="0">
      <alignment horizontal="center" vertical="center"/>
    </xf>
    <xf numFmtId="0" fontId="0" fillId="5" borderId="3" applyAlignment="1" pivotButton="0" quotePrefix="0" xfId="0">
      <alignment horizontal="center" vertical="center"/>
    </xf>
    <xf numFmtId="49" fontId="0" fillId="5" borderId="8" applyAlignment="1" pivotButton="0" quotePrefix="0" xfId="0">
      <alignment horizontal="center" vertical="center"/>
    </xf>
    <xf numFmtId="0" fontId="0" fillId="5" borderId="9" applyAlignment="1" pivotButton="0" quotePrefix="0" xfId="0">
      <alignment horizontal="center" vertical="center"/>
    </xf>
    <xf numFmtId="164" fontId="0" fillId="5" borderId="9" applyAlignment="1" pivotButton="0" quotePrefix="0" xfId="1">
      <alignment vertical="center"/>
    </xf>
    <xf numFmtId="0" fontId="0" fillId="5" borderId="9" applyAlignment="1" pivotButton="0" quotePrefix="0" xfId="0">
      <alignment vertical="center"/>
    </xf>
    <xf numFmtId="0" fontId="0" fillId="5" borderId="10" applyAlignment="1" pivotButton="0" quotePrefix="0" xfId="0">
      <alignment horizontal="center" vertical="center"/>
    </xf>
    <xf numFmtId="49" fontId="0" fillId="5" borderId="2" applyAlignment="1" pivotButton="0" quotePrefix="0" xfId="0">
      <alignment horizontal="center" vertical="center"/>
    </xf>
    <xf numFmtId="0" fontId="0" fillId="5" borderId="1" applyAlignment="1" pivotButton="0" quotePrefix="0" xfId="0">
      <alignment horizontal="center" vertical="center"/>
    </xf>
    <xf numFmtId="164" fontId="0" fillId="5" borderId="1" applyAlignment="1" pivotButton="0" quotePrefix="0" xfId="1">
      <alignment vertical="center"/>
    </xf>
    <xf numFmtId="0" fontId="0" fillId="5" borderId="1" applyAlignment="1" pivotButton="0" quotePrefix="0" xfId="0">
      <alignment vertical="center"/>
    </xf>
    <xf numFmtId="49" fontId="0" fillId="5" borderId="4" applyAlignment="1" pivotButton="0" quotePrefix="0" xfId="0">
      <alignment horizontal="center" vertical="center"/>
    </xf>
    <xf numFmtId="0" fontId="0" fillId="5" borderId="5" applyAlignment="1" pivotButton="0" quotePrefix="0" xfId="0">
      <alignment horizontal="center" vertical="center"/>
    </xf>
    <xf numFmtId="164" fontId="0" fillId="5" borderId="5" applyAlignment="1" pivotButton="0" quotePrefix="0" xfId="1">
      <alignment vertical="center"/>
    </xf>
    <xf numFmtId="0" fontId="0" fillId="5" borderId="5" applyAlignment="1" pivotButton="0" quotePrefix="0" xfId="0">
      <alignment vertical="center"/>
    </xf>
    <xf numFmtId="0" fontId="0" fillId="5" borderId="6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/>
    </xf>
    <xf numFmtId="0" fontId="0" fillId="4" borderId="1" applyAlignment="1" pivotButton="0" quotePrefix="0" xfId="0">
      <alignment vertical="center"/>
    </xf>
    <xf numFmtId="168" fontId="0" fillId="0" borderId="1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164" fontId="0" fillId="0" borderId="1" applyAlignment="1" pivotButton="0" quotePrefix="0" xfId="1">
      <alignment vertical="center"/>
    </xf>
    <xf numFmtId="169" fontId="0" fillId="0" borderId="1" applyAlignment="1" pivotButton="0" quotePrefix="0" xfId="0">
      <alignment horizontal="center" vertical="center"/>
    </xf>
    <xf numFmtId="0" fontId="9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9" fillId="0" borderId="0" applyAlignment="1" pivotButton="0" quotePrefix="0" xfId="0">
      <alignment horizontal="center" vertical="center"/>
    </xf>
    <xf numFmtId="0" fontId="5" fillId="2" borderId="1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5" fillId="2" borderId="1" applyAlignment="1" pivotButton="0" quotePrefix="0" xfId="0">
      <alignment horizontal="center" vertical="center"/>
    </xf>
    <xf numFmtId="165" fontId="0" fillId="0" borderId="0" applyAlignment="1" pivotButton="0" quotePrefix="0" xfId="0">
      <alignment vertical="center"/>
    </xf>
    <xf numFmtId="165" fontId="2" fillId="0" borderId="0" applyAlignment="1" pivotButton="0" quotePrefix="0" xfId="0">
      <alignment vertical="center"/>
    </xf>
    <xf numFmtId="0" fontId="0" fillId="0" borderId="0" pivotButton="0" quotePrefix="0" xfId="0"/>
    <xf numFmtId="164" fontId="0" fillId="0" borderId="9" applyAlignment="1" pivotButton="0" quotePrefix="0" xfId="1">
      <alignment vertical="center"/>
    </xf>
    <xf numFmtId="164" fontId="0" fillId="0" borderId="1" applyAlignment="1" pivotButton="0" quotePrefix="0" xfId="1">
      <alignment vertical="center"/>
    </xf>
    <xf numFmtId="164" fontId="0" fillId="0" borderId="5" applyAlignment="1" pivotButton="0" quotePrefix="0" xfId="1">
      <alignment vertical="center"/>
    </xf>
    <xf numFmtId="169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1">
      <alignment horizontal="center" vertical="center"/>
    </xf>
    <xf numFmtId="0" fontId="0" fillId="0" borderId="16" pivotButton="0" quotePrefix="0" xfId="0"/>
    <xf numFmtId="0" fontId="0" fillId="0" borderId="17" pivotButton="0" quotePrefix="0" xfId="0"/>
    <xf numFmtId="168" fontId="0" fillId="0" borderId="1" applyAlignment="1" pivotButton="0" quotePrefix="0" xfId="0">
      <alignment vertical="center"/>
    </xf>
  </cellXfs>
  <cellStyles count="2">
    <cellStyle name="표준" xfId="0" builtinId="0"/>
    <cellStyle name="쉼표 [0]" xfId="1" builtinId="6"/>
  </cellStyles>
  <dxfs count="2">
    <dxf>
      <font>
        <b val="1"/>
        <color rgb="FFFF0000"/>
      </font>
    </dxf>
    <dxf>
      <fill>
        <patternFill>
          <bgColor rgb="FF00B0F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harts/chart1.xml><?xml version="1.0" encoding="utf-8"?>
<chartSpace xmlns="http://schemas.openxmlformats.org/drawingml/2006/chart">
  <chart>
    <plotArea>
      <layout/>
      <barChart>
        <barDir val="col"/>
        <grouping val="clustered"/>
        <varyColors val="0"/>
        <ser>
          <idx val="0"/>
          <order val="0"/>
          <tx>
            <strRef>
              <f>차트작업!$B$3</f>
              <strCache>
                <ptCount val="1"/>
                <pt idx="0">
                  <v>학번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차트작업!$A$4:$A$8</f>
              <strCache>
                <ptCount val="5"/>
                <pt idx="0">
                  <v>김귀지</v>
                </pt>
                <pt idx="1">
                  <v>이멸우</v>
                </pt>
                <pt idx="2">
                  <v>최의선</v>
                </pt>
                <pt idx="3">
                  <v>박칼생</v>
                </pt>
                <pt idx="4">
                  <v>정날님</v>
                </pt>
              </strCache>
            </strRef>
          </cat>
          <val>
            <numRef>
              <f>차트작업!$B$4:$B$8</f>
              <numCache>
                <formatCode>General</formatCode>
                <ptCount val="5"/>
                <pt idx="0">
                  <v>159265</v>
                </pt>
                <pt idx="1">
                  <v>358979</v>
                </pt>
                <pt idx="2">
                  <v>323846</v>
                </pt>
                <pt idx="3">
                  <v>264338</v>
                </pt>
                <pt idx="4">
                  <v>327950</v>
                </pt>
              </numCache>
            </numRef>
          </val>
        </ser>
        <ser>
          <idx val="1"/>
          <order val="1"/>
          <tx>
            <strRef>
              <f>차트작업!$C$3</f>
              <strCache>
                <ptCount val="1"/>
                <pt idx="0">
                  <v>1층 정수기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차트작업!$A$4:$A$8</f>
              <strCache>
                <ptCount val="5"/>
                <pt idx="0">
                  <v>김귀지</v>
                </pt>
                <pt idx="1">
                  <v>이멸우</v>
                </pt>
                <pt idx="2">
                  <v>최의선</v>
                </pt>
                <pt idx="3">
                  <v>박칼생</v>
                </pt>
                <pt idx="4">
                  <v>정날님</v>
                </pt>
              </strCache>
            </strRef>
          </cat>
          <val>
            <numRef>
              <f>차트작업!$C$4:$C$8</f>
              <numCache>
                <formatCode>#"ml"</formatCode>
                <ptCount val="5"/>
                <pt idx="0">
                  <v>280</v>
                </pt>
                <pt idx="1">
                  <v>840</v>
                </pt>
                <pt idx="2">
                  <v>190</v>
                </pt>
                <pt idx="3">
                  <v>710</v>
                </pt>
                <pt idx="4">
                  <v>690</v>
                </pt>
              </numCache>
            </numRef>
          </val>
        </ser>
        <ser>
          <idx val="2"/>
          <order val="2"/>
          <tx>
            <strRef>
              <f>차트작업!$D$3</f>
              <strCache>
                <ptCount val="1"/>
                <pt idx="0">
                  <v>2층 정수기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차트작업!$A$4:$A$8</f>
              <strCache>
                <ptCount val="5"/>
                <pt idx="0">
                  <v>김귀지</v>
                </pt>
                <pt idx="1">
                  <v>이멸우</v>
                </pt>
                <pt idx="2">
                  <v>최의선</v>
                </pt>
                <pt idx="3">
                  <v>박칼생</v>
                </pt>
                <pt idx="4">
                  <v>정날님</v>
                </pt>
              </strCache>
            </strRef>
          </cat>
          <val>
            <numRef>
              <f>차트작업!$D$4:$D$8</f>
              <numCache>
                <formatCode>#"ml"</formatCode>
                <ptCount val="5"/>
                <pt idx="0">
                  <v>390</v>
                </pt>
                <pt idx="1">
                  <v>930</v>
                </pt>
                <pt idx="2">
                  <v>750</v>
                </pt>
                <pt idx="3">
                  <v>100</v>
                </pt>
                <pt idx="4">
                  <v>580</v>
                </pt>
              </numCache>
            </numRef>
          </val>
        </ser>
        <ser>
          <idx val="3"/>
          <order val="3"/>
          <tx>
            <strRef>
              <f>차트작업!$E$3</f>
              <strCache>
                <ptCount val="1"/>
                <pt idx="0">
                  <v>총량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차트작업!$A$4:$A$8</f>
              <strCache>
                <ptCount val="5"/>
                <pt idx="0">
                  <v>김귀지</v>
                </pt>
                <pt idx="1">
                  <v>이멸우</v>
                </pt>
                <pt idx="2">
                  <v>최의선</v>
                </pt>
                <pt idx="3">
                  <v>박칼생</v>
                </pt>
                <pt idx="4">
                  <v>정날님</v>
                </pt>
              </strCache>
            </strRef>
          </cat>
          <val>
            <numRef>
              <f>차트작업!$E$4:$E$8</f>
              <numCache>
                <formatCode>#"ml"</formatCode>
                <ptCount val="5"/>
                <pt idx="0">
                  <v>670</v>
                </pt>
                <pt idx="1">
                  <v>1770</v>
                </pt>
                <pt idx="2">
                  <v>940</v>
                </pt>
                <pt idx="3">
                  <v>810</v>
                </pt>
                <pt idx="4">
                  <v>1270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76787696"/>
        <axId val="76784368"/>
      </barChart>
      <catAx>
        <axId val="7678769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76784368"/>
        <crosses val="autoZero"/>
        <auto val="1"/>
        <lblAlgn val="ctr"/>
        <lblOffset val="100"/>
        <noMultiLvlLbl val="0"/>
      </catAx>
      <valAx>
        <axId val="767843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767876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0</colOff>
      <row>12</row>
      <rowOff>9525</rowOff>
    </from>
    <to>
      <col>5</col>
      <colOff>676275</colOff>
      <row>25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rot="0" spcFirstLastPara="0" vertOverflow="clip" horzOverflow="clip" vert="horz" wrap="square" lIns="91440" tIns="45720" rIns="9144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G12"/>
  <sheetViews>
    <sheetView zoomScale="190" zoomScaleNormal="190" workbookViewId="0">
      <selection activeCell="A1" sqref="A1"/>
    </sheetView>
  </sheetViews>
  <sheetFormatPr baseColWidth="8" defaultColWidth="9" defaultRowHeight="16.5"/>
  <cols>
    <col width="8.75" customWidth="1" style="3" min="1" max="1"/>
    <col width="9.375" bestFit="1" customWidth="1" style="3" min="2" max="2"/>
    <col width="25.375" bestFit="1" customWidth="1" style="3" min="3" max="3"/>
    <col width="13.625" bestFit="1" customWidth="1" style="3" min="4" max="4"/>
    <col width="18.625" bestFit="1" customWidth="1" style="3" min="5" max="5"/>
    <col width="13.25" customWidth="1" style="3" min="6" max="6"/>
    <col width="9.125" bestFit="1" customWidth="1" style="3" min="7" max="7"/>
    <col width="9" customWidth="1" style="3" min="8" max="16384"/>
  </cols>
  <sheetData>
    <row r="1">
      <c r="A1" s="1" t="inlineStr">
        <is>
          <t>JL 웨딩홀 행사 예약현황</t>
        </is>
      </c>
      <c r="B1" s="2" t="n"/>
      <c r="C1" s="2" t="n"/>
      <c r="D1" s="2" t="n"/>
      <c r="E1" s="2" t="n"/>
      <c r="F1" s="2" t="n"/>
      <c r="G1" s="2" t="n"/>
    </row>
    <row r="2">
      <c r="A2" s="2" t="n"/>
      <c r="B2" s="2" t="n"/>
      <c r="C2" s="2" t="n"/>
      <c r="D2" s="2" t="n"/>
      <c r="E2" s="2" t="n"/>
      <c r="F2" s="2" t="n"/>
      <c r="G2" s="2" t="n"/>
    </row>
    <row r="3">
      <c r="A3" s="2" t="n"/>
      <c r="B3" s="2" t="n"/>
      <c r="C3" s="2" t="n"/>
      <c r="D3" s="2" t="n"/>
      <c r="E3" s="2" t="n"/>
      <c r="F3" s="2" t="n"/>
      <c r="G3" s="2" t="n"/>
    </row>
    <row r="4">
      <c r="A4" s="14" t="n"/>
      <c r="B4" s="66" t="n"/>
      <c r="C4" s="71" t="n"/>
      <c r="D4" s="19" t="n"/>
      <c r="E4" s="66" t="n"/>
      <c r="F4" s="16" t="n"/>
      <c r="G4" s="16" t="n"/>
    </row>
    <row r="5">
      <c r="A5" s="14" t="n"/>
      <c r="B5" s="66" t="n"/>
      <c r="C5" s="72" t="n"/>
      <c r="D5" s="20" t="n"/>
      <c r="E5" s="66" t="n"/>
      <c r="F5" s="16" t="n"/>
      <c r="G5" s="16" t="n"/>
    </row>
    <row r="6">
      <c r="A6" s="14" t="n"/>
      <c r="B6" s="2" t="n"/>
      <c r="C6" s="72" t="n"/>
      <c r="D6" s="19" t="n"/>
      <c r="E6" s="2" t="n"/>
      <c r="F6" s="16" t="n"/>
      <c r="G6" s="16" t="n"/>
    </row>
    <row r="7">
      <c r="A7" s="14" t="n"/>
      <c r="B7" s="2" t="n"/>
      <c r="C7" s="71" t="n"/>
      <c r="D7" s="19" t="n"/>
      <c r="E7" s="2" t="n"/>
      <c r="F7" s="16" t="n"/>
      <c r="G7" s="16" t="n"/>
    </row>
    <row r="8">
      <c r="A8" s="14" t="n"/>
      <c r="B8" s="2" t="n"/>
      <c r="C8" s="71" t="n"/>
      <c r="D8" s="19" t="n"/>
      <c r="E8" s="2" t="n"/>
      <c r="F8" s="16" t="n"/>
      <c r="G8" s="16" t="n"/>
    </row>
    <row r="9">
      <c r="A9" s="14" t="n"/>
      <c r="B9" s="2" t="n"/>
      <c r="C9" s="71" t="n"/>
      <c r="D9" s="19" t="n"/>
      <c r="E9" s="2" t="n"/>
      <c r="F9" s="16" t="n"/>
      <c r="G9" s="16" t="n"/>
    </row>
    <row r="10">
      <c r="A10" s="14" t="n"/>
      <c r="B10" s="2" t="n"/>
      <c r="C10" s="71" t="n"/>
      <c r="D10" s="19" t="n"/>
      <c r="E10" s="2" t="n"/>
      <c r="F10" s="16" t="n"/>
      <c r="G10" s="14" t="n"/>
    </row>
    <row r="11">
      <c r="A11" s="14" t="n"/>
      <c r="B11" s="2" t="n"/>
      <c r="C11" s="71" t="n"/>
      <c r="D11" s="19" t="n"/>
      <c r="E11" s="2" t="n"/>
      <c r="F11" s="16" t="n"/>
      <c r="G11" s="14" t="n"/>
    </row>
    <row r="12">
      <c r="C12" s="21" t="n"/>
      <c r="G12" s="16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2:H10"/>
  <sheetViews>
    <sheetView zoomScaleNormal="100" workbookViewId="0">
      <selection activeCell="N23" sqref="N23"/>
    </sheetView>
  </sheetViews>
  <sheetFormatPr baseColWidth="8" defaultRowHeight="16.5"/>
  <cols>
    <col width="9.5" bestFit="1" customWidth="1" style="73" min="2" max="2"/>
    <col width="13" bestFit="1" customWidth="1" style="73" min="3" max="3"/>
    <col width="26.375" customWidth="1" style="73" min="6" max="6"/>
    <col width="9.625" customWidth="1" style="73" min="7" max="7"/>
  </cols>
  <sheetData>
    <row r="2">
      <c r="A2" s="14" t="inlineStr">
        <is>
          <t>퇴근시간 비교</t>
        </is>
      </c>
    </row>
    <row r="3">
      <c r="A3" s="14" t="inlineStr">
        <is>
          <t>이름</t>
        </is>
      </c>
      <c r="B3" s="14" t="inlineStr">
        <is>
          <t>학번</t>
        </is>
      </c>
      <c r="C3" s="14" t="inlineStr">
        <is>
          <t>전공</t>
        </is>
      </c>
      <c r="D3" s="14" t="inlineStr">
        <is>
          <t>담당교수</t>
        </is>
      </c>
      <c r="E3" s="14" t="inlineStr">
        <is>
          <t>계급</t>
        </is>
      </c>
      <c r="F3" s="14" t="inlineStr">
        <is>
          <t>퇴근시간</t>
        </is>
      </c>
      <c r="G3" s="14" t="inlineStr">
        <is>
          <t>순서</t>
        </is>
      </c>
      <c r="H3" s="14" t="inlineStr">
        <is>
          <t>특이사항</t>
        </is>
      </c>
    </row>
    <row r="4">
      <c r="A4" s="14" t="inlineStr">
        <is>
          <t>김철수</t>
        </is>
      </c>
      <c r="B4" s="14" t="n">
        <v>14159265</v>
      </c>
      <c r="C4" s="14" t="inlineStr">
        <is>
          <t>컴활교육과</t>
        </is>
      </c>
      <c r="D4" s="14" t="inlineStr">
        <is>
          <t>지우쌤</t>
        </is>
      </c>
      <c r="E4" s="14" t="inlineStr">
        <is>
          <t>인턴</t>
        </is>
      </c>
      <c r="F4" s="14" t="n">
        <v>0.05694444444444444</v>
      </c>
      <c r="G4" s="14" t="n">
        <v>2</v>
      </c>
      <c r="H4" s="14" t="inlineStr">
        <is>
          <t>-</t>
        </is>
      </c>
    </row>
    <row r="5">
      <c r="A5" s="14" t="inlineStr">
        <is>
          <t>박염주</t>
        </is>
      </c>
      <c r="B5" s="14" t="n">
        <v>35897932</v>
      </c>
      <c r="C5" s="14" t="inlineStr">
        <is>
          <t>파이썬과</t>
        </is>
      </c>
      <c r="D5" s="14" t="inlineStr">
        <is>
          <t>우지쌤</t>
        </is>
      </c>
      <c r="E5" s="14" t="inlineStr">
        <is>
          <t>대학원생</t>
        </is>
      </c>
      <c r="F5" s="14" t="inlineStr">
        <is>
          <t>대학원생은 퇴근할 수 없습니다.</t>
        </is>
      </c>
      <c r="G5" s="14" t="n">
        <v>7</v>
      </c>
      <c r="H5" s="14" t="inlineStr">
        <is>
          <t>대학원생</t>
        </is>
      </c>
    </row>
    <row r="6">
      <c r="A6" s="14" t="inlineStr">
        <is>
          <t>조조찬</t>
        </is>
      </c>
      <c r="B6" s="14" t="n">
        <v>38462643</v>
      </c>
      <c r="C6" s="14" t="inlineStr">
        <is>
          <t>컴활교육과</t>
        </is>
      </c>
      <c r="D6" s="14" t="inlineStr">
        <is>
          <t>지우쌤</t>
        </is>
      </c>
      <c r="E6" s="14" t="inlineStr">
        <is>
          <t>조교</t>
        </is>
      </c>
      <c r="F6" s="14" t="n">
        <v>0.08541666666666665</v>
      </c>
      <c r="G6" s="14" t="n">
        <v>4</v>
      </c>
      <c r="H6" s="14" t="inlineStr">
        <is>
          <t>-</t>
        </is>
      </c>
    </row>
    <row r="7">
      <c r="A7" s="14" t="inlineStr">
        <is>
          <t>최수주</t>
        </is>
      </c>
      <c r="B7" s="14" t="n">
        <v>38327950</v>
      </c>
      <c r="C7" s="14" t="inlineStr">
        <is>
          <t>파포디자인과</t>
        </is>
      </c>
      <c r="D7" s="14" t="inlineStr">
        <is>
          <t>쌤우지</t>
        </is>
      </c>
      <c r="E7" s="14" t="inlineStr">
        <is>
          <t>인턴</t>
        </is>
      </c>
      <c r="F7" s="14" t="n">
        <v>0.06388888888888888</v>
      </c>
      <c r="G7" s="14" t="n">
        <v>3</v>
      </c>
      <c r="H7" s="14" t="inlineStr">
        <is>
          <t>-</t>
        </is>
      </c>
    </row>
    <row r="8">
      <c r="A8" s="14" t="inlineStr">
        <is>
          <t>제갈천</t>
        </is>
      </c>
      <c r="B8" s="14" t="n">
        <v>28841971</v>
      </c>
      <c r="C8" s="14" t="inlineStr">
        <is>
          <t>파포디자인과</t>
        </is>
      </c>
      <c r="D8" s="14" t="inlineStr">
        <is>
          <t>쌤우지</t>
        </is>
      </c>
      <c r="E8" s="14" t="inlineStr">
        <is>
          <t>조교</t>
        </is>
      </c>
      <c r="F8" s="14" t="n">
        <v>0.09166666666666667</v>
      </c>
      <c r="G8" s="14" t="n">
        <v>5</v>
      </c>
      <c r="H8" s="14" t="inlineStr">
        <is>
          <t>-</t>
        </is>
      </c>
    </row>
    <row r="9">
      <c r="A9" s="14" t="inlineStr">
        <is>
          <t>정충주</t>
        </is>
      </c>
      <c r="B9" s="14" t="n">
        <v>69399375</v>
      </c>
      <c r="C9" s="14" t="inlineStr">
        <is>
          <t>파이썬과</t>
        </is>
      </c>
      <c r="D9" s="14" t="inlineStr">
        <is>
          <t>우지쌤</t>
        </is>
      </c>
      <c r="E9" s="14" t="inlineStr">
        <is>
          <t>인턴</t>
        </is>
      </c>
      <c r="F9" s="14" t="n">
        <v>0.05208333333333334</v>
      </c>
      <c r="G9" s="14" t="n">
        <v>1</v>
      </c>
      <c r="H9" s="14" t="inlineStr">
        <is>
          <t>-</t>
        </is>
      </c>
    </row>
    <row r="10">
      <c r="A10" s="14" t="inlineStr">
        <is>
          <t>김영희</t>
        </is>
      </c>
      <c r="B10" s="14" t="n">
        <v>10582097</v>
      </c>
      <c r="C10" s="14" t="inlineStr">
        <is>
          <t>컴활교육과</t>
        </is>
      </c>
      <c r="D10" s="14" t="inlineStr">
        <is>
          <t>지우쌤</t>
        </is>
      </c>
      <c r="E10" s="14" t="inlineStr">
        <is>
          <t>조교</t>
        </is>
      </c>
      <c r="F10" s="14" t="n">
        <v>0.1006944444444444</v>
      </c>
      <c r="G10" s="14" t="n">
        <v>6</v>
      </c>
      <c r="H10" s="14" t="inlineStr">
        <is>
          <t>-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F12"/>
  <sheetViews>
    <sheetView zoomScaleNormal="100" workbookViewId="0">
      <selection activeCell="A1" sqref="A1"/>
    </sheetView>
  </sheetViews>
  <sheetFormatPr baseColWidth="8" defaultRowHeight="16.5"/>
  <cols>
    <col width="10.75" bestFit="1" customWidth="1" style="73" min="1" max="1"/>
    <col width="11.5" bestFit="1" customWidth="1" style="73" min="2" max="2"/>
    <col width="15" customWidth="1" style="73" min="3" max="3"/>
    <col width="12.375" bestFit="1" customWidth="1" style="73" min="4" max="4"/>
    <col width="14.375" customWidth="1" style="73" min="5" max="5"/>
    <col width="14.625" customWidth="1" style="73" min="6" max="6"/>
  </cols>
  <sheetData>
    <row r="1" ht="17.25" customHeight="1" s="73" thickBot="1">
      <c r="A1" s="14" t="inlineStr">
        <is>
          <t>모의 주식 거래 현황</t>
        </is>
      </c>
    </row>
    <row r="2" ht="17.25" customHeight="1" s="73" thickBot="1">
      <c r="A2" s="33" t="inlineStr">
        <is>
          <t>종목코드</t>
        </is>
      </c>
      <c r="B2" s="35" t="inlineStr">
        <is>
          <t>종목명</t>
        </is>
      </c>
      <c r="C2" s="35" t="inlineStr">
        <is>
          <t>현재가</t>
        </is>
      </c>
      <c r="D2" s="35" t="inlineStr">
        <is>
          <t>등락율</t>
        </is>
      </c>
      <c r="E2" s="35" t="inlineStr">
        <is>
          <t>거래량</t>
        </is>
      </c>
      <c r="F2" s="36" t="inlineStr">
        <is>
          <t>플랫폼</t>
        </is>
      </c>
    </row>
    <row r="3">
      <c r="A3" s="41" t="n">
        <v>14159265</v>
      </c>
      <c r="B3" s="39" t="inlineStr">
        <is>
          <t>GTR전자</t>
        </is>
      </c>
      <c r="C3" s="74" t="n">
        <v>25000</v>
      </c>
      <c r="D3" s="32" t="n">
        <v>3.52</v>
      </c>
      <c r="E3" s="32" t="n">
        <v>2472</v>
      </c>
      <c r="F3" s="37" t="inlineStr">
        <is>
          <t>P</t>
        </is>
      </c>
    </row>
    <row r="4">
      <c r="A4" s="42" t="n">
        <v>35897932</v>
      </c>
      <c r="B4" s="30" t="inlineStr">
        <is>
          <t>계단금융</t>
        </is>
      </c>
      <c r="C4" s="75" t="n">
        <v>18500</v>
      </c>
      <c r="D4" s="9" t="n">
        <v>-2.44</v>
      </c>
      <c r="E4" s="9" t="n">
        <v>3288</v>
      </c>
      <c r="F4" s="44" t="inlineStr">
        <is>
          <t>P</t>
        </is>
      </c>
    </row>
    <row r="5">
      <c r="A5" s="42" t="n">
        <v>38462643</v>
      </c>
      <c r="B5" s="30" t="inlineStr">
        <is>
          <t>Fron중공업</t>
        </is>
      </c>
      <c r="C5" s="75" t="n">
        <v>7400</v>
      </c>
      <c r="D5" s="9" t="n">
        <v>-1.07</v>
      </c>
      <c r="E5" s="9" t="n">
        <v>641</v>
      </c>
      <c r="F5" s="38" t="inlineStr">
        <is>
          <t>P</t>
        </is>
      </c>
    </row>
    <row r="6">
      <c r="A6" s="42" t="n">
        <v>38327950</v>
      </c>
      <c r="B6" s="30" t="inlineStr">
        <is>
          <t>DT항공</t>
        </is>
      </c>
      <c r="C6" s="75" t="n">
        <v>34000</v>
      </c>
      <c r="D6" s="9" t="n">
        <v>6.42</v>
      </c>
      <c r="E6" s="9" t="n">
        <v>4865</v>
      </c>
      <c r="F6" s="38" t="inlineStr">
        <is>
          <t>T</t>
        </is>
      </c>
    </row>
    <row r="7">
      <c r="A7" s="42" t="n">
        <v>28841971</v>
      </c>
      <c r="B7" s="30" t="inlineStr">
        <is>
          <t>BT금융</t>
        </is>
      </c>
      <c r="C7" s="75" t="n">
        <v>28400</v>
      </c>
      <c r="D7" s="9" t="n">
        <v>4.78</v>
      </c>
      <c r="E7" s="9" t="n">
        <v>3988</v>
      </c>
      <c r="F7" s="38" t="inlineStr">
        <is>
          <t>T</t>
        </is>
      </c>
    </row>
    <row r="8">
      <c r="A8" s="42" t="n">
        <v>69399375</v>
      </c>
      <c r="B8" s="30" t="inlineStr">
        <is>
          <t>C4W건설</t>
        </is>
      </c>
      <c r="C8" s="75" t="n">
        <v>9750</v>
      </c>
      <c r="D8" s="9" t="n">
        <v>-2.63</v>
      </c>
      <c r="E8" s="9" t="n">
        <v>1755</v>
      </c>
      <c r="F8" s="38" t="inlineStr">
        <is>
          <t>T</t>
        </is>
      </c>
    </row>
    <row r="9">
      <c r="A9" s="42" t="n">
        <v>10582097</v>
      </c>
      <c r="B9" s="30" t="inlineStr">
        <is>
          <t>신GTR금융</t>
        </is>
      </c>
      <c r="C9" s="75" t="n">
        <v>590</v>
      </c>
      <c r="D9" s="9" t="n">
        <v>-6.81</v>
      </c>
      <c r="E9" s="9" t="n">
        <v>280</v>
      </c>
      <c r="F9" s="38" t="inlineStr">
        <is>
          <t>P</t>
        </is>
      </c>
    </row>
    <row r="10">
      <c r="A10" s="42" t="n">
        <v>49445923</v>
      </c>
      <c r="B10" s="30" t="inlineStr">
        <is>
          <t>S4W전자</t>
        </is>
      </c>
      <c r="C10" s="75" t="n">
        <v>4230</v>
      </c>
      <c r="D10" s="9" t="n">
        <v>-1.67</v>
      </c>
      <c r="E10" s="9" t="n">
        <v>1643</v>
      </c>
      <c r="F10" s="38" t="inlineStr">
        <is>
          <t>T</t>
        </is>
      </c>
    </row>
    <row r="11">
      <c r="A11" s="42" t="inlineStr">
        <is>
          <t>07816406</t>
        </is>
      </c>
      <c r="B11" s="30" t="inlineStr">
        <is>
          <t>부정금융</t>
        </is>
      </c>
      <c r="C11" s="75" t="n">
        <v>830</v>
      </c>
      <c r="D11" s="9" t="n">
        <v>2.56</v>
      </c>
      <c r="E11" s="9" t="n">
        <v>920</v>
      </c>
      <c r="F11" s="38" t="inlineStr">
        <is>
          <t>P</t>
        </is>
      </c>
    </row>
    <row r="12" ht="17.25" customHeight="1" s="73" thickBot="1">
      <c r="A12" s="43" t="n">
        <v>28620899</v>
      </c>
      <c r="B12" s="40" t="inlineStr">
        <is>
          <t>Sprint전력</t>
        </is>
      </c>
      <c r="C12" s="76" t="n">
        <v>460</v>
      </c>
      <c r="D12" s="11" t="n">
        <v>0.24</v>
      </c>
      <c r="E12" s="11" t="n">
        <v>4517</v>
      </c>
      <c r="F12" s="6" t="inlineStr">
        <is>
          <t>T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M31"/>
  <sheetViews>
    <sheetView workbookViewId="0">
      <selection activeCell="E11" sqref="E11"/>
    </sheetView>
  </sheetViews>
  <sheetFormatPr baseColWidth="8" defaultRowHeight="16.5"/>
  <cols>
    <col width="18.625" bestFit="1" customWidth="1" style="73" min="1" max="1"/>
    <col width="12.375" bestFit="1" customWidth="1" style="73" min="2" max="2"/>
    <col width="21.25" bestFit="1" customWidth="1" style="73" min="3" max="3"/>
    <col width="9.875" bestFit="1" customWidth="1" style="73" min="4" max="4"/>
    <col width="10.875" bestFit="1" customWidth="1" style="73" min="5" max="5"/>
    <col width="11" bestFit="1" customWidth="1" style="73" min="7" max="8"/>
    <col width="11" bestFit="1" customWidth="1" style="73" min="12" max="12"/>
  </cols>
  <sheetData>
    <row r="1">
      <c r="A1" s="14" t="inlineStr">
        <is>
          <t>[표1]</t>
        </is>
      </c>
      <c r="G1" s="14" t="inlineStr">
        <is>
          <t>[표2]</t>
        </is>
      </c>
    </row>
    <row r="2">
      <c r="A2" s="30" t="inlineStr">
        <is>
          <t>책 제목</t>
        </is>
      </c>
      <c r="B2" s="30" t="inlineStr">
        <is>
          <t>1회평점</t>
        </is>
      </c>
      <c r="C2" s="30" t="inlineStr">
        <is>
          <t>2회평점</t>
        </is>
      </c>
      <c r="D2" s="30" t="inlineStr">
        <is>
          <t>3회평점</t>
        </is>
      </c>
      <c r="E2" s="29" t="inlineStr">
        <is>
          <t>총평</t>
        </is>
      </c>
      <c r="G2" s="30" t="inlineStr">
        <is>
          <t>이름</t>
        </is>
      </c>
      <c r="H2" s="30" t="inlineStr">
        <is>
          <t>지역</t>
        </is>
      </c>
      <c r="I2" s="30" t="inlineStr">
        <is>
          <t>가산점</t>
        </is>
      </c>
      <c r="J2" s="30" t="inlineStr">
        <is>
          <t>원점수</t>
        </is>
      </c>
      <c r="K2" s="29" t="inlineStr">
        <is>
          <t>결과</t>
        </is>
      </c>
    </row>
    <row r="3">
      <c r="A3" s="30" t="inlineStr">
        <is>
          <t>미분과 적분의 사랑</t>
        </is>
      </c>
      <c r="B3" s="30" t="n">
        <v>59</v>
      </c>
      <c r="C3" s="30" t="n">
        <v>64</v>
      </c>
      <c r="D3" s="30" t="n">
        <v>64</v>
      </c>
      <c r="E3" s="30" t="n"/>
      <c r="G3" s="30" t="inlineStr">
        <is>
          <t>이**</t>
        </is>
      </c>
      <c r="H3" s="30" t="inlineStr">
        <is>
          <t>대전</t>
        </is>
      </c>
      <c r="I3" s="30" t="n">
        <v>10</v>
      </c>
      <c r="J3" s="30" t="n">
        <v>74</v>
      </c>
      <c r="K3" s="30" t="n"/>
    </row>
    <row r="4">
      <c r="A4" s="30" t="inlineStr">
        <is>
          <t>뿌요뿌요개론</t>
        </is>
      </c>
      <c r="B4" s="30" t="n">
        <v>72</v>
      </c>
      <c r="C4" s="30" t="n">
        <v>70</v>
      </c>
      <c r="D4" s="30" t="n">
        <v>62</v>
      </c>
      <c r="E4" s="30" t="n"/>
      <c r="G4" s="30" t="inlineStr">
        <is>
          <t>김**</t>
        </is>
      </c>
      <c r="H4" s="30" t="inlineStr">
        <is>
          <t>서울</t>
        </is>
      </c>
      <c r="I4" s="30" t="n">
        <v>20</v>
      </c>
      <c r="J4" s="30" t="n">
        <v>54</v>
      </c>
      <c r="K4" s="30" t="n"/>
    </row>
    <row r="5">
      <c r="A5" s="30" t="inlineStr">
        <is>
          <t>전설의 이야기</t>
        </is>
      </c>
      <c r="B5" s="30" t="n">
        <v>46</v>
      </c>
      <c r="C5" s="30" t="n">
        <v>88</v>
      </c>
      <c r="D5" s="30" t="n">
        <v>62</v>
      </c>
      <c r="E5" s="30" t="n"/>
      <c r="G5" s="30" t="inlineStr">
        <is>
          <t>박**</t>
        </is>
      </c>
      <c r="H5" s="30" t="inlineStr">
        <is>
          <t>양양</t>
        </is>
      </c>
      <c r="I5" s="30" t="n">
        <v>10</v>
      </c>
      <c r="J5" s="30" t="n">
        <v>59</v>
      </c>
      <c r="K5" s="30" t="n"/>
    </row>
    <row r="6">
      <c r="A6" s="30" t="inlineStr">
        <is>
          <t>아시나 기록집</t>
        </is>
      </c>
      <c r="B6" s="30" t="n">
        <v>54</v>
      </c>
      <c r="C6" s="30" t="n">
        <v>52</v>
      </c>
      <c r="D6" s="30" t="n">
        <v>54</v>
      </c>
      <c r="E6" s="30" t="n"/>
      <c r="G6" s="30" t="inlineStr">
        <is>
          <t>이**</t>
        </is>
      </c>
      <c r="H6" s="30" t="inlineStr">
        <is>
          <t>대구</t>
        </is>
      </c>
      <c r="I6" s="30" t="n">
        <v>10</v>
      </c>
      <c r="J6" s="30" t="n">
        <v>66</v>
      </c>
      <c r="K6" s="30" t="n"/>
    </row>
    <row r="7">
      <c r="A7" s="30" t="inlineStr">
        <is>
          <t>GTR의 모든 것</t>
        </is>
      </c>
      <c r="B7" s="30" t="n">
        <v>86</v>
      </c>
      <c r="C7" s="30" t="n">
        <v>76</v>
      </c>
      <c r="D7" s="30" t="n">
        <v>91</v>
      </c>
      <c r="E7" s="30" t="n"/>
      <c r="G7" s="30" t="inlineStr">
        <is>
          <t>최**</t>
        </is>
      </c>
      <c r="H7" s="30" t="inlineStr">
        <is>
          <t>전주</t>
        </is>
      </c>
      <c r="I7" s="30" t="n">
        <v>20</v>
      </c>
      <c r="J7" s="30" t="n">
        <v>42</v>
      </c>
      <c r="K7" s="30" t="n"/>
    </row>
    <row r="8">
      <c r="A8" s="30" t="inlineStr">
        <is>
          <t>지크벨트 자서전</t>
        </is>
      </c>
      <c r="B8" s="30" t="n">
        <v>88</v>
      </c>
      <c r="C8" s="30" t="n">
        <v>76</v>
      </c>
      <c r="D8" s="30" t="n">
        <v>72</v>
      </c>
      <c r="E8" s="30" t="n"/>
      <c r="G8" s="30" t="inlineStr">
        <is>
          <t>제***</t>
        </is>
      </c>
      <c r="H8" s="30" t="inlineStr">
        <is>
          <t>서울</t>
        </is>
      </c>
      <c r="I8" s="30" t="n">
        <v>10</v>
      </c>
      <c r="J8" s="30" t="n">
        <v>74</v>
      </c>
      <c r="K8" s="30" t="n"/>
    </row>
    <row r="9">
      <c r="G9" s="30" t="inlineStr">
        <is>
          <t>김**</t>
        </is>
      </c>
      <c r="H9" s="30" t="inlineStr">
        <is>
          <t>부산</t>
        </is>
      </c>
      <c r="I9" s="30" t="n">
        <v>20</v>
      </c>
      <c r="J9" s="30" t="n">
        <v>95</v>
      </c>
      <c r="K9" s="30" t="n"/>
    </row>
    <row r="10">
      <c r="A10" s="30" t="inlineStr">
        <is>
          <t>최소점수</t>
        </is>
      </c>
      <c r="B10" s="30" t="n">
        <v>60</v>
      </c>
      <c r="C10" s="30" t="n">
        <v>70</v>
      </c>
      <c r="D10" s="30" t="n">
        <v>80</v>
      </c>
    </row>
    <row r="11">
      <c r="A11" s="30" t="inlineStr">
        <is>
          <t>평가</t>
        </is>
      </c>
      <c r="B11" s="30" t="inlineStr">
        <is>
          <t>★</t>
        </is>
      </c>
      <c r="C11" s="30" t="inlineStr">
        <is>
          <t>★★</t>
        </is>
      </c>
      <c r="D11" s="30" t="inlineStr">
        <is>
          <t>★★★</t>
        </is>
      </c>
      <c r="G11" s="66" t="n"/>
    </row>
    <row r="13">
      <c r="A13" s="14" t="inlineStr">
        <is>
          <t>[표3]</t>
        </is>
      </c>
      <c r="G13" s="14" t="inlineStr">
        <is>
          <t>[표4]</t>
        </is>
      </c>
    </row>
    <row r="14">
      <c r="A14" s="30" t="inlineStr">
        <is>
          <t>팀명</t>
        </is>
      </c>
      <c r="B14" s="30" t="inlineStr">
        <is>
          <t>팀장</t>
        </is>
      </c>
      <c r="C14" s="29" t="inlineStr">
        <is>
          <t>발표값</t>
        </is>
      </c>
      <c r="G14" s="15" t="inlineStr">
        <is>
          <t>품목</t>
        </is>
      </c>
      <c r="H14" s="15" t="inlineStr">
        <is>
          <t>원산지</t>
        </is>
      </c>
      <c r="I14" s="15" t="inlineStr">
        <is>
          <t>항구</t>
        </is>
      </c>
      <c r="J14" s="15" t="inlineStr">
        <is>
          <t>개수</t>
        </is>
      </c>
    </row>
    <row r="15">
      <c r="A15" s="30" t="inlineStr">
        <is>
          <t>winners</t>
        </is>
      </c>
      <c r="B15" s="30" t="inlineStr">
        <is>
          <t>지우쌤</t>
        </is>
      </c>
      <c r="C15" s="30" t="n"/>
      <c r="G15" s="30" t="inlineStr">
        <is>
          <t>색종이</t>
        </is>
      </c>
      <c r="H15" s="30" t="inlineStr">
        <is>
          <t>아시나</t>
        </is>
      </c>
      <c r="I15" s="30" t="inlineStr">
        <is>
          <t>부산</t>
        </is>
      </c>
      <c r="J15" s="9" t="n">
        <v>430</v>
      </c>
    </row>
    <row r="16">
      <c r="A16" s="30" t="inlineStr">
        <is>
          <t>losers</t>
        </is>
      </c>
      <c r="B16" s="30" t="inlineStr">
        <is>
          <t>우지쌤</t>
        </is>
      </c>
      <c r="C16" s="30" t="n"/>
      <c r="G16" s="30" t="inlineStr">
        <is>
          <t>에스트병</t>
        </is>
      </c>
      <c r="H16" s="30" t="inlineStr">
        <is>
          <t>아노르론도</t>
        </is>
      </c>
      <c r="I16" s="30" t="inlineStr">
        <is>
          <t>부산</t>
        </is>
      </c>
      <c r="J16" s="9" t="n">
        <v>600</v>
      </c>
    </row>
    <row r="17">
      <c r="A17" s="30" t="inlineStr">
        <is>
          <t>watchers</t>
        </is>
      </c>
      <c r="B17" s="30" t="inlineStr">
        <is>
          <t>김지우</t>
        </is>
      </c>
      <c r="C17" s="30" t="n"/>
      <c r="G17" s="30" t="inlineStr">
        <is>
          <t>톱단창</t>
        </is>
      </c>
      <c r="H17" s="30" t="inlineStr">
        <is>
          <t>야남</t>
        </is>
      </c>
      <c r="I17" s="30" t="inlineStr">
        <is>
          <t>부산</t>
        </is>
      </c>
      <c r="J17" s="9" t="n">
        <v>10</v>
      </c>
    </row>
    <row r="18">
      <c r="A18" s="30" t="inlineStr">
        <is>
          <t>observers</t>
        </is>
      </c>
      <c r="B18" s="30" t="inlineStr">
        <is>
          <t>최지우</t>
        </is>
      </c>
      <c r="C18" s="30" t="n"/>
      <c r="G18" s="30" t="inlineStr">
        <is>
          <t>우석</t>
        </is>
      </c>
      <c r="H18" s="30" t="inlineStr">
        <is>
          <t>매듀라</t>
        </is>
      </c>
      <c r="I18" s="30" t="inlineStr">
        <is>
          <t>부산</t>
        </is>
      </c>
      <c r="J18" s="9" t="n">
        <v>843</v>
      </c>
    </row>
    <row r="19">
      <c r="A19" s="30" t="inlineStr">
        <is>
          <t>puyousers</t>
        </is>
      </c>
      <c r="B19" s="30" t="inlineStr">
        <is>
          <t>박지우</t>
        </is>
      </c>
      <c r="C19" s="30" t="n"/>
      <c r="G19" s="30" t="inlineStr">
        <is>
          <t>에스트수프</t>
        </is>
      </c>
      <c r="H19" s="30" t="inlineStr">
        <is>
          <t>아노르론도</t>
        </is>
      </c>
      <c r="I19" s="30" t="inlineStr">
        <is>
          <t>부산</t>
        </is>
      </c>
      <c r="J19" s="9" t="n">
        <v>148</v>
      </c>
    </row>
    <row r="20">
      <c r="A20" s="30" t="inlineStr">
        <is>
          <t>tetrisusers</t>
        </is>
      </c>
      <c r="B20" s="30" t="inlineStr">
        <is>
          <t>쌤지우</t>
        </is>
      </c>
      <c r="C20" s="30" t="n"/>
      <c r="G20" s="30" t="inlineStr">
        <is>
          <t>쌀</t>
        </is>
      </c>
      <c r="H20" s="30" t="inlineStr">
        <is>
          <t>아시나</t>
        </is>
      </c>
      <c r="I20" s="30" t="inlineStr">
        <is>
          <t>부산</t>
        </is>
      </c>
      <c r="J20" s="9" t="n">
        <v>652</v>
      </c>
      <c r="L20" s="29" t="inlineStr">
        <is>
          <t>아시나물품</t>
        </is>
      </c>
      <c r="M20" s="30" t="n"/>
    </row>
    <row r="21">
      <c r="A21" s="30" t="inlineStr">
        <is>
          <t>wizards</t>
        </is>
      </c>
      <c r="B21" s="30" t="inlineStr">
        <is>
          <t>강지우</t>
        </is>
      </c>
      <c r="C21" s="30" t="n"/>
    </row>
    <row r="23">
      <c r="A23" s="14" t="inlineStr">
        <is>
          <t>[표5]</t>
        </is>
      </c>
    </row>
    <row r="24">
      <c r="A24" s="30" t="inlineStr">
        <is>
          <t>회원명</t>
        </is>
      </c>
      <c r="B24" s="30" t="inlineStr">
        <is>
          <t>대여비(일)</t>
        </is>
      </c>
      <c r="C24" s="30" t="inlineStr">
        <is>
          <t>대여</t>
        </is>
      </c>
      <c r="D24" s="30" t="inlineStr">
        <is>
          <t>반납</t>
        </is>
      </c>
      <c r="E24" s="29" t="inlineStr">
        <is>
          <t>총 대여비</t>
        </is>
      </c>
    </row>
    <row r="25">
      <c r="A25" s="30" t="inlineStr">
        <is>
          <t>이**</t>
        </is>
      </c>
      <c r="B25" s="75" t="n">
        <v>3000</v>
      </c>
      <c r="C25" s="77" t="n">
        <v>44257</v>
      </c>
      <c r="D25" s="77" t="n">
        <v>44352</v>
      </c>
      <c r="E25" s="78" t="n"/>
    </row>
    <row r="26">
      <c r="A26" s="30" t="inlineStr">
        <is>
          <t>최**</t>
        </is>
      </c>
      <c r="B26" s="75" t="n">
        <v>5000</v>
      </c>
      <c r="C26" s="77" t="n">
        <v>44291</v>
      </c>
      <c r="D26" s="77" t="n">
        <v>44555</v>
      </c>
      <c r="E26" s="78" t="n"/>
    </row>
    <row r="27">
      <c r="A27" s="30" t="inlineStr">
        <is>
          <t>박**</t>
        </is>
      </c>
      <c r="B27" s="75" t="n">
        <v>2000</v>
      </c>
      <c r="C27" s="77" t="n">
        <v>44325</v>
      </c>
      <c r="D27" s="77" t="n">
        <v>44415</v>
      </c>
      <c r="E27" s="78" t="n"/>
    </row>
    <row r="28">
      <c r="A28" s="30" t="inlineStr">
        <is>
          <t>최**</t>
        </is>
      </c>
      <c r="B28" s="75" t="n">
        <v>3000</v>
      </c>
      <c r="C28" s="77" t="n">
        <v>44306</v>
      </c>
      <c r="D28" s="77" t="n">
        <v>44440</v>
      </c>
      <c r="E28" s="78" t="n"/>
    </row>
    <row r="29">
      <c r="A29" s="30" t="inlineStr">
        <is>
          <t>박**</t>
        </is>
      </c>
      <c r="B29" s="75" t="n">
        <v>2000</v>
      </c>
      <c r="C29" s="77" t="n">
        <v>44377</v>
      </c>
      <c r="D29" s="77" t="n">
        <v>44438</v>
      </c>
      <c r="E29" s="78" t="n"/>
    </row>
    <row r="30">
      <c r="A30" s="30" t="inlineStr">
        <is>
          <t>정**</t>
        </is>
      </c>
      <c r="B30" s="75" t="n">
        <v>4000</v>
      </c>
      <c r="C30" s="77" t="n">
        <v>44232</v>
      </c>
      <c r="D30" s="77" t="n">
        <v>44403</v>
      </c>
      <c r="E30" s="78" t="n"/>
    </row>
    <row r="31">
      <c r="A31" s="30" t="inlineStr">
        <is>
          <t>이**</t>
        </is>
      </c>
      <c r="B31" s="75" t="n">
        <v>5000</v>
      </c>
      <c r="C31" s="77" t="n">
        <v>44226</v>
      </c>
      <c r="D31" s="77" t="n">
        <v>44521</v>
      </c>
      <c r="E31" s="78" t="n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18"/>
  <sheetViews>
    <sheetView tabSelected="1" workbookViewId="0">
      <selection activeCell="I12" sqref="I12"/>
    </sheetView>
  </sheetViews>
  <sheetFormatPr baseColWidth="8" defaultRowHeight="16.5"/>
  <cols>
    <col width="12.625" bestFit="1" customWidth="1" style="73" min="2" max="2"/>
  </cols>
  <sheetData>
    <row r="1">
      <c r="A1" s="14" t="inlineStr">
        <is>
          <t>[표1] 프로그래밍</t>
        </is>
      </c>
    </row>
    <row r="3">
      <c r="A3" s="30" t="inlineStr">
        <is>
          <t>이름</t>
        </is>
      </c>
      <c r="B3" s="30" t="inlineStr">
        <is>
          <t>언어</t>
        </is>
      </c>
      <c r="C3" s="30" t="inlineStr">
        <is>
          <t>경력</t>
        </is>
      </c>
      <c r="D3" s="30" t="inlineStr">
        <is>
          <t>점수</t>
        </is>
      </c>
    </row>
    <row r="4">
      <c r="A4" s="30" t="inlineStr">
        <is>
          <t>김**</t>
        </is>
      </c>
      <c r="B4" s="30" t="inlineStr">
        <is>
          <t>Python</t>
        </is>
      </c>
      <c r="C4" s="30" t="n">
        <v>4</v>
      </c>
      <c r="D4" s="30" t="n">
        <v>530</v>
      </c>
    </row>
    <row r="5">
      <c r="A5" s="30" t="inlineStr">
        <is>
          <t>박**</t>
        </is>
      </c>
      <c r="B5" s="30" t="inlineStr">
        <is>
          <t>Python</t>
        </is>
      </c>
      <c r="C5" s="30" t="n">
        <v>4</v>
      </c>
      <c r="D5" s="30" t="n">
        <v>310</v>
      </c>
    </row>
    <row r="6">
      <c r="A6" s="30" t="inlineStr">
        <is>
          <t>이**</t>
        </is>
      </c>
      <c r="B6" s="30" t="inlineStr">
        <is>
          <t>Python</t>
        </is>
      </c>
      <c r="C6" s="30" t="n">
        <v>5</v>
      </c>
      <c r="D6" s="30" t="n">
        <v>845</v>
      </c>
    </row>
    <row r="7">
      <c r="A7" s="30" t="inlineStr">
        <is>
          <t>이**</t>
        </is>
      </c>
      <c r="B7" s="30" t="inlineStr">
        <is>
          <t>Python</t>
        </is>
      </c>
      <c r="C7" s="30" t="n">
        <v>4</v>
      </c>
      <c r="D7" s="30" t="n">
        <v>432</v>
      </c>
    </row>
    <row r="8">
      <c r="A8" s="30" t="inlineStr">
        <is>
          <t>최**</t>
        </is>
      </c>
      <c r="B8" s="30" t="inlineStr">
        <is>
          <t>Python</t>
        </is>
      </c>
      <c r="C8" s="30" t="n">
        <v>3</v>
      </c>
      <c r="D8" s="30" t="n">
        <v>590</v>
      </c>
    </row>
    <row r="9">
      <c r="A9" s="30" t="inlineStr">
        <is>
          <t>김**</t>
        </is>
      </c>
      <c r="B9" s="30" t="inlineStr">
        <is>
          <t>Java</t>
        </is>
      </c>
      <c r="C9" s="30" t="n">
        <v>1</v>
      </c>
      <c r="D9" s="30" t="n">
        <v>230</v>
      </c>
    </row>
    <row r="10">
      <c r="A10" s="30" t="inlineStr">
        <is>
          <t>정**</t>
        </is>
      </c>
      <c r="B10" s="30" t="inlineStr">
        <is>
          <t>Java</t>
        </is>
      </c>
      <c r="C10" s="30" t="n">
        <v>3</v>
      </c>
      <c r="D10" s="30" t="n">
        <v>150</v>
      </c>
    </row>
    <row r="11">
      <c r="A11" s="30" t="inlineStr">
        <is>
          <t>최**</t>
        </is>
      </c>
      <c r="B11" s="30" t="inlineStr">
        <is>
          <t>Java</t>
        </is>
      </c>
      <c r="C11" s="30" t="n">
        <v>3</v>
      </c>
      <c r="D11" s="30" t="n">
        <v>503</v>
      </c>
    </row>
    <row r="12">
      <c r="A12" s="30" t="inlineStr">
        <is>
          <t>최**</t>
        </is>
      </c>
      <c r="B12" s="30" t="inlineStr">
        <is>
          <t>Java</t>
        </is>
      </c>
      <c r="C12" s="30" t="n">
        <v>2</v>
      </c>
      <c r="D12" s="30" t="n">
        <v>250</v>
      </c>
    </row>
    <row r="13">
      <c r="A13" s="30" t="inlineStr">
        <is>
          <t>박**</t>
        </is>
      </c>
      <c r="B13" s="30" t="inlineStr">
        <is>
          <t>C</t>
        </is>
      </c>
      <c r="C13" s="30" t="n">
        <v>3</v>
      </c>
      <c r="D13" s="30" t="n">
        <v>430</v>
      </c>
    </row>
    <row r="14">
      <c r="A14" s="30" t="inlineStr">
        <is>
          <t>정**</t>
        </is>
      </c>
      <c r="B14" s="30" t="inlineStr">
        <is>
          <t>C</t>
        </is>
      </c>
      <c r="C14" s="30" t="n">
        <v>2</v>
      </c>
      <c r="D14" s="30" t="n">
        <v>413</v>
      </c>
    </row>
    <row r="15">
      <c r="A15" s="30" t="inlineStr">
        <is>
          <t>정**</t>
        </is>
      </c>
      <c r="B15" s="30" t="inlineStr">
        <is>
          <t>C</t>
        </is>
      </c>
      <c r="C15" s="30" t="n">
        <v>6</v>
      </c>
      <c r="D15" s="30" t="n">
        <v>812</v>
      </c>
    </row>
    <row r="16">
      <c r="A16" s="30" t="inlineStr">
        <is>
          <t>정**</t>
        </is>
      </c>
      <c r="B16" s="30" t="inlineStr">
        <is>
          <t>C</t>
        </is>
      </c>
      <c r="C16" s="30" t="n">
        <v>6</v>
      </c>
      <c r="D16" s="30" t="n">
        <v>700</v>
      </c>
    </row>
    <row r="17">
      <c r="A17" s="30" t="inlineStr">
        <is>
          <t>최**</t>
        </is>
      </c>
      <c r="B17" s="30" t="inlineStr">
        <is>
          <t>C</t>
        </is>
      </c>
      <c r="C17" s="30" t="n">
        <v>9</v>
      </c>
      <c r="D17" s="30" t="n">
        <v>930</v>
      </c>
    </row>
    <row r="18">
      <c r="A18" s="30" t="inlineStr">
        <is>
          <t>최**</t>
        </is>
      </c>
      <c r="B18" s="30" t="inlineStr">
        <is>
          <t>BF</t>
        </is>
      </c>
      <c r="C18" s="30" t="n">
        <v>7</v>
      </c>
      <c r="D18" s="30" t="n">
        <v>830</v>
      </c>
    </row>
  </sheetData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F10"/>
  <sheetViews>
    <sheetView workbookViewId="0">
      <selection activeCell="G11" sqref="G11"/>
    </sheetView>
  </sheetViews>
  <sheetFormatPr baseColWidth="8" defaultRowHeight="16.5"/>
  <cols>
    <col width="9.625" bestFit="1" customWidth="1" style="73" min="2" max="2"/>
    <col width="13.75" bestFit="1" customWidth="1" style="73" min="3" max="3"/>
  </cols>
  <sheetData>
    <row r="1">
      <c r="A1" s="14" t="inlineStr">
        <is>
          <t>특산품 판매 현황</t>
        </is>
      </c>
    </row>
    <row r="3">
      <c r="A3" s="70" t="inlineStr">
        <is>
          <t>종류</t>
        </is>
      </c>
      <c r="B3" s="70" t="inlineStr">
        <is>
          <t>제품명</t>
        </is>
      </c>
      <c r="C3" s="70" t="inlineStr">
        <is>
          <t>생산지</t>
        </is>
      </c>
      <c r="D3" s="70" t="inlineStr">
        <is>
          <t>판매량</t>
        </is>
      </c>
      <c r="E3" s="70" t="inlineStr">
        <is>
          <t>판매가</t>
        </is>
      </c>
      <c r="F3" s="70" t="inlineStr">
        <is>
          <t>총판매가</t>
        </is>
      </c>
    </row>
    <row r="4">
      <c r="A4" s="30" t="inlineStr">
        <is>
          <t>종이</t>
        </is>
      </c>
      <c r="B4" s="30" t="inlineStr">
        <is>
          <t>색종이</t>
        </is>
      </c>
      <c r="C4" s="30" t="inlineStr">
        <is>
          <t>아시나 성</t>
        </is>
      </c>
      <c r="D4" s="9" t="n">
        <v>32</v>
      </c>
      <c r="E4" s="9" t="n">
        <v>1000</v>
      </c>
      <c r="F4" s="9">
        <f>D4*E4</f>
        <v/>
      </c>
    </row>
    <row r="5">
      <c r="A5" s="30" t="inlineStr">
        <is>
          <t>미끼</t>
        </is>
      </c>
      <c r="B5" s="30" t="inlineStr">
        <is>
          <t>고급 미끼</t>
        </is>
      </c>
      <c r="C5" s="30" t="inlineStr">
        <is>
          <t>기원의 궁</t>
        </is>
      </c>
      <c r="D5" s="9" t="n">
        <v>30</v>
      </c>
      <c r="E5" s="9" t="n">
        <v>3000</v>
      </c>
      <c r="F5" s="9">
        <f>D5*E5</f>
        <v/>
      </c>
    </row>
    <row r="6">
      <c r="A6" s="30" t="inlineStr">
        <is>
          <t>방울</t>
        </is>
      </c>
      <c r="B6" s="30" t="inlineStr">
        <is>
          <t>씨앗 방울</t>
        </is>
      </c>
      <c r="C6" s="30" t="inlineStr">
        <is>
          <t>용천 강가</t>
        </is>
      </c>
      <c r="D6" s="9" t="n">
        <v>15</v>
      </c>
      <c r="E6" s="9" t="n">
        <v>1300</v>
      </c>
      <c r="F6" s="9">
        <f>D6*E6</f>
        <v/>
      </c>
    </row>
    <row r="7">
      <c r="A7" s="30" t="inlineStr">
        <is>
          <t>꽃</t>
        </is>
      </c>
      <c r="B7" s="30" t="inlineStr">
        <is>
          <t>수련</t>
        </is>
      </c>
      <c r="C7" s="30" t="inlineStr">
        <is>
          <t>낭떠러지 계곡</t>
        </is>
      </c>
      <c r="D7" s="9" t="n">
        <v>27</v>
      </c>
      <c r="E7" s="9" t="n">
        <v>5500</v>
      </c>
      <c r="F7" s="9">
        <f>D7*E7</f>
        <v/>
      </c>
    </row>
    <row r="8">
      <c r="A8" s="30" t="inlineStr">
        <is>
          <t>팔찌</t>
        </is>
      </c>
      <c r="B8" s="30" t="inlineStr">
        <is>
          <t>염주</t>
        </is>
      </c>
      <c r="C8" s="30" t="inlineStr">
        <is>
          <t>금강산 선봉사</t>
        </is>
      </c>
      <c r="D8" s="9" t="n">
        <v>32</v>
      </c>
      <c r="E8" s="9" t="n">
        <v>1500</v>
      </c>
      <c r="F8" s="9">
        <f>D8*E8</f>
        <v/>
      </c>
    </row>
    <row r="9">
      <c r="A9" s="30" t="inlineStr">
        <is>
          <t>불상</t>
        </is>
      </c>
      <c r="B9" s="30" t="inlineStr">
        <is>
          <t>지장보살</t>
        </is>
      </c>
      <c r="C9" s="30" t="inlineStr">
        <is>
          <t>수생촌</t>
        </is>
      </c>
      <c r="D9" s="9" t="n">
        <v>14</v>
      </c>
      <c r="E9" s="9" t="n">
        <v>2500</v>
      </c>
      <c r="F9" s="9">
        <f>D9*E9</f>
        <v/>
      </c>
    </row>
    <row r="10">
      <c r="A10" s="70" t="inlineStr">
        <is>
          <t>전체 합계</t>
        </is>
      </c>
      <c r="B10" s="79" t="n"/>
      <c r="C10" s="80" t="n"/>
      <c r="D10" s="9">
        <f>SUM(D4:D9)</f>
        <v/>
      </c>
      <c r="E10" s="9">
        <f>SUM(E4:E9)</f>
        <v/>
      </c>
      <c r="F10" s="9">
        <f>SUM(F4:F9)</f>
        <v/>
      </c>
    </row>
  </sheetData>
  <mergeCells count="1">
    <mergeCell ref="A10:C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A1:E10"/>
  <sheetViews>
    <sheetView zoomScaleNormal="100" workbookViewId="0">
      <selection activeCell="A1" sqref="A1"/>
    </sheetView>
  </sheetViews>
  <sheetFormatPr baseColWidth="8" defaultRowHeight="16.5"/>
  <cols>
    <col width="8.5" customWidth="1" style="73" min="1" max="1"/>
    <col width="7.125" bestFit="1" customWidth="1" style="73" min="2" max="2"/>
    <col width="11" bestFit="1" customWidth="1" style="73" min="3" max="4"/>
  </cols>
  <sheetData>
    <row r="1">
      <c r="A1" s="14" t="inlineStr">
        <is>
          <t>[표1]  3대 측정</t>
        </is>
      </c>
    </row>
    <row r="3">
      <c r="A3" s="60" t="inlineStr">
        <is>
          <t>이름</t>
        </is>
      </c>
      <c r="B3" s="60" t="inlineStr">
        <is>
          <t>스쿼트</t>
        </is>
      </c>
      <c r="C3" s="60" t="inlineStr">
        <is>
          <t>데드리프트</t>
        </is>
      </c>
      <c r="D3" s="60" t="inlineStr">
        <is>
          <t>벤치프레스</t>
        </is>
      </c>
      <c r="E3" s="60" t="inlineStr">
        <is>
          <t>삼대</t>
        </is>
      </c>
    </row>
    <row r="4">
      <c r="A4" s="30" t="inlineStr">
        <is>
          <t>지우쌤</t>
        </is>
      </c>
      <c r="B4" s="30" t="n">
        <v>80</v>
      </c>
      <c r="C4" s="30" t="n">
        <v>130</v>
      </c>
      <c r="D4" s="30" t="n">
        <v>110</v>
      </c>
      <c r="E4" s="9" t="n"/>
    </row>
    <row r="5">
      <c r="A5" s="30" t="inlineStr">
        <is>
          <t>우지쌤</t>
        </is>
      </c>
      <c r="B5" s="30" t="n">
        <v>55</v>
      </c>
      <c r="C5" s="30" t="n">
        <v>70</v>
      </c>
      <c r="D5" s="30" t="n">
        <v>85</v>
      </c>
      <c r="E5" s="9" t="n"/>
    </row>
    <row r="6">
      <c r="A6" s="30" t="inlineStr">
        <is>
          <t>김지우</t>
        </is>
      </c>
      <c r="B6" s="30" t="n">
        <v>75</v>
      </c>
      <c r="C6" s="30" t="n">
        <v>60</v>
      </c>
      <c r="D6" s="30" t="n">
        <v>120</v>
      </c>
      <c r="E6" s="9" t="n"/>
    </row>
    <row r="7">
      <c r="A7" s="30" t="inlineStr">
        <is>
          <t>박지우</t>
        </is>
      </c>
      <c r="B7" s="30" t="n">
        <v>100</v>
      </c>
      <c r="C7" s="30" t="n">
        <v>100</v>
      </c>
      <c r="D7" s="30" t="n">
        <v>100</v>
      </c>
      <c r="E7" s="9" t="n"/>
    </row>
    <row r="8">
      <c r="A8" s="30" t="inlineStr">
        <is>
          <t>최지우</t>
        </is>
      </c>
      <c r="B8" s="30" t="n">
        <v>120</v>
      </c>
      <c r="C8" s="30" t="n">
        <v>80</v>
      </c>
      <c r="D8" s="30" t="n">
        <v>75</v>
      </c>
      <c r="E8" s="9" t="n"/>
    </row>
    <row r="9">
      <c r="A9" s="30" t="inlineStr">
        <is>
          <t>이지우</t>
        </is>
      </c>
      <c r="B9" s="30" t="n">
        <v>65</v>
      </c>
      <c r="C9" s="30" t="n">
        <v>60</v>
      </c>
      <c r="D9" s="30" t="n">
        <v>70</v>
      </c>
      <c r="E9" s="9" t="n"/>
    </row>
    <row r="10">
      <c r="A10" s="30" t="inlineStr">
        <is>
          <t>남궁지우</t>
        </is>
      </c>
      <c r="B10" s="30" t="n">
        <v>80</v>
      </c>
      <c r="C10" s="30" t="n">
        <v>85</v>
      </c>
      <c r="D10" s="30" t="n">
        <v>70</v>
      </c>
      <c r="E10" s="9" t="n"/>
    </row>
  </sheetData>
  <pageMargins left="0.7" right="0.7" top="0.75" bottom="0.75" header="0.3" footer="0.3"/>
  <pageSetup orientation="portrait" paperSize="9" horizontalDpi="1200" verticalDpi="1200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8"/>
  <sheetViews>
    <sheetView zoomScaleNormal="100" workbookViewId="0">
      <selection activeCell="A1" sqref="A1"/>
    </sheetView>
  </sheetViews>
  <sheetFormatPr baseColWidth="8" defaultRowHeight="16.5"/>
  <cols>
    <col width="10.625" bestFit="1" customWidth="1" style="73" min="3" max="4"/>
  </cols>
  <sheetData>
    <row r="1">
      <c r="A1" s="14" t="inlineStr">
        <is>
          <t>학생별 정수기 사용량</t>
        </is>
      </c>
    </row>
    <row r="3">
      <c r="A3" s="59" t="inlineStr">
        <is>
          <t>이름</t>
        </is>
      </c>
      <c r="B3" s="59" t="inlineStr">
        <is>
          <t>학번</t>
        </is>
      </c>
      <c r="C3" s="59" t="inlineStr">
        <is>
          <t>1층 정수기</t>
        </is>
      </c>
      <c r="D3" s="59" t="inlineStr">
        <is>
          <t>2층 정수기</t>
        </is>
      </c>
      <c r="E3" s="59" t="inlineStr">
        <is>
          <t>총량</t>
        </is>
      </c>
    </row>
    <row r="4">
      <c r="A4" s="30" t="inlineStr">
        <is>
          <t>김귀지</t>
        </is>
      </c>
      <c r="B4" s="30" t="n">
        <v>159265</v>
      </c>
      <c r="C4" s="81" t="n">
        <v>280</v>
      </c>
      <c r="D4" s="81" t="n">
        <v>390</v>
      </c>
      <c r="E4" s="81">
        <f>C4+D4</f>
        <v/>
      </c>
    </row>
    <row r="5">
      <c r="A5" s="30" t="inlineStr">
        <is>
          <t>이멸우</t>
        </is>
      </c>
      <c r="B5" s="30" t="n">
        <v>358979</v>
      </c>
      <c r="C5" s="81" t="n">
        <v>840</v>
      </c>
      <c r="D5" s="81" t="n">
        <v>930</v>
      </c>
      <c r="E5" s="81">
        <f>C5+D5</f>
        <v/>
      </c>
    </row>
    <row r="6">
      <c r="A6" s="30" t="inlineStr">
        <is>
          <t>최의선</t>
        </is>
      </c>
      <c r="B6" s="30" t="n">
        <v>323846</v>
      </c>
      <c r="C6" s="81" t="n">
        <v>190</v>
      </c>
      <c r="D6" s="81" t="n">
        <v>750</v>
      </c>
      <c r="E6" s="81">
        <f>C6+D6</f>
        <v/>
      </c>
    </row>
    <row r="7">
      <c r="A7" s="30" t="inlineStr">
        <is>
          <t>박칼생</t>
        </is>
      </c>
      <c r="B7" s="30" t="n">
        <v>264338</v>
      </c>
      <c r="C7" s="81" t="n">
        <v>710</v>
      </c>
      <c r="D7" s="81" t="n">
        <v>100</v>
      </c>
      <c r="E7" s="81">
        <f>C7+D7</f>
        <v/>
      </c>
    </row>
    <row r="8">
      <c r="A8" s="30" t="inlineStr">
        <is>
          <t>정날님</t>
        </is>
      </c>
      <c r="B8" s="30" t="n">
        <v>327950</v>
      </c>
      <c r="C8" s="81" t="n">
        <v>690</v>
      </c>
      <c r="D8" s="81" t="n">
        <v>580</v>
      </c>
      <c r="E8" s="81">
        <f>C8+D8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jiwoo</dc:creator>
  <dcterms:created xmlns:dcterms="http://purl.org/dc/terms/" xmlns:xsi="http://www.w3.org/2001/XMLSchema-instance" xsi:type="dcterms:W3CDTF">2021-02-23T04:31:45Z</dcterms:created>
  <dcterms:modified xmlns:dcterms="http://purl.org/dc/terms/" xmlns:xsi="http://www.w3.org/2001/XMLSchema-instance" xsi:type="dcterms:W3CDTF">2026-06-06T06:34:18Z</dcterms:modified>
  <cp:lastModifiedBy>Administrator</cp:lastModifiedBy>
</cp:coreProperties>
</file>