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20430" yWindow="2970" windowWidth="28065" windowHeight="17085" tabRatio="922" firstSheet="0" activeTab="2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>
    <definedName name="학생코드정답">'기본작업-2 (정답)'!$B$4:$B$10</definedName>
  </definedNames>
  <calcPr calcId="181029" fullCalcOnLoad="1"/>
</workbook>
</file>

<file path=xl/styles.xml><?xml version="1.0" encoding="utf-8"?>
<styleSheet xmlns="http://schemas.openxmlformats.org/spreadsheetml/2006/main">
  <numFmts count="3">
    <numFmt numFmtId="164" formatCode="_-* #,##0_-;\-* #,##0_-;_-* &quot;-&quot;_-;_-@_-"/>
    <numFmt numFmtId="165" formatCode="#,##0_ "/>
    <numFmt numFmtId="166" formatCode="\x#&quot;탈퇴&quot;"/>
  </numFmts>
  <fonts count="10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sz val="8"/>
      <scheme val="minor"/>
    </font>
    <font>
      <name val="맑은 고딕"/>
      <family val="2"/>
      <color theme="1"/>
      <sz val="11"/>
      <scheme val="minor"/>
    </font>
    <font>
      <name val="궁서"/>
      <charset val="129"/>
      <family val="1"/>
      <color theme="1"/>
      <sz val="24"/>
    </font>
    <font>
      <name val="맑은 고딕"/>
      <charset val="129"/>
      <family val="3"/>
      <color rgb="FF000000"/>
      <sz val="11"/>
    </font>
    <font>
      <name val="맑은 고딕"/>
      <charset val="129"/>
      <family val="3"/>
      <sz val="11"/>
      <scheme val="minor"/>
    </font>
    <font>
      <name val="맑은 고딕"/>
      <charset val="129"/>
      <family val="3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2" fillId="0" borderId="0" applyAlignment="1">
      <alignment vertical="center"/>
    </xf>
    <xf numFmtId="164" fontId="2" fillId="0" borderId="0" applyAlignment="1">
      <alignment vertical="center"/>
    </xf>
    <xf numFmtId="0" fontId="5" fillId="0" borderId="0"/>
    <xf numFmtId="164" fontId="5" fillId="0" borderId="0" applyAlignment="1">
      <alignment vertical="center"/>
    </xf>
  </cellStyleXfs>
  <cellXfs count="75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164" fontId="0" fillId="0" borderId="1" applyAlignment="1" pivotButton="0" quotePrefix="0" xfId="1">
      <alignment horizontal="center"/>
    </xf>
    <xf numFmtId="0" fontId="0" fillId="0" borderId="7" applyAlignment="1" pivotButton="0" quotePrefix="0" xfId="0">
      <alignment horizontal="center"/>
    </xf>
    <xf numFmtId="0" fontId="5" fillId="0" borderId="0" pivotButton="0" quotePrefix="0" xfId="2"/>
    <xf numFmtId="0" fontId="3" fillId="2" borderId="8" applyAlignment="1" pivotButton="0" quotePrefix="0" xfId="2">
      <alignment horizontal="center"/>
    </xf>
    <xf numFmtId="0" fontId="3" fillId="2" borderId="9" applyAlignment="1" pivotButton="0" quotePrefix="0" xfId="2">
      <alignment horizontal="center"/>
    </xf>
    <xf numFmtId="0" fontId="3" fillId="2" borderId="10" applyAlignment="1" pivotButton="0" quotePrefix="0" xfId="2">
      <alignment horizontal="center"/>
    </xf>
    <xf numFmtId="0" fontId="5" fillId="0" borderId="2" applyAlignment="1" pivotButton="0" quotePrefix="0" xfId="2">
      <alignment horizontal="center"/>
    </xf>
    <xf numFmtId="0" fontId="5" fillId="0" borderId="1" applyAlignment="1" pivotButton="0" quotePrefix="0" xfId="2">
      <alignment horizontal="center"/>
    </xf>
    <xf numFmtId="0" fontId="5" fillId="0" borderId="3" applyAlignment="1" pivotButton="0" quotePrefix="0" xfId="2">
      <alignment horizontal="center"/>
    </xf>
    <xf numFmtId="0" fontId="5" fillId="0" borderId="4" applyAlignment="1" pivotButton="0" quotePrefix="0" xfId="2">
      <alignment horizontal="center"/>
    </xf>
    <xf numFmtId="0" fontId="5" fillId="0" borderId="5" applyAlignment="1" pivotButton="0" quotePrefix="0" xfId="2">
      <alignment horizontal="center"/>
    </xf>
    <xf numFmtId="0" fontId="5" fillId="0" borderId="6" applyAlignment="1" pivotButton="0" quotePrefix="0" xfId="2">
      <alignment horizontal="center"/>
    </xf>
    <xf numFmtId="0" fontId="3" fillId="2" borderId="8" pivotButton="0" quotePrefix="0" xfId="0"/>
    <xf numFmtId="0" fontId="3" fillId="2" borderId="9" pivotButton="0" quotePrefix="0" xfId="0"/>
    <xf numFmtId="0" fontId="3" fillId="2" borderId="10" pivotButton="0" quotePrefix="0" xfId="0"/>
    <xf numFmtId="0" fontId="0" fillId="0" borderId="2" applyAlignment="1" pivotButton="0" quotePrefix="0" xfId="0">
      <alignment horizontal="center"/>
    </xf>
    <xf numFmtId="165" fontId="0" fillId="0" borderId="1" pivotButton="0" quotePrefix="0" xfId="0"/>
    <xf numFmtId="165" fontId="0" fillId="0" borderId="3" pivotButton="0" quotePrefix="0" xfId="0"/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165" fontId="0" fillId="0" borderId="5" pivotButton="0" quotePrefix="0" xfId="0"/>
    <xf numFmtId="165" fontId="0" fillId="0" borderId="6" pivotButton="0" quotePrefix="0" xfId="0"/>
    <xf numFmtId="0" fontId="5" fillId="2" borderId="1" applyAlignment="1" pivotButton="0" quotePrefix="0" xfId="2">
      <alignment horizontal="center"/>
    </xf>
    <xf numFmtId="164" fontId="0" fillId="0" borderId="1" pivotButton="0" quotePrefix="0" xfId="3"/>
    <xf numFmtId="164" fontId="5" fillId="0" borderId="1" pivotButton="0" quotePrefix="0" xfId="2"/>
    <xf numFmtId="0" fontId="0" fillId="0" borderId="0" applyAlignment="1" pivotButton="0" quotePrefix="0" xfId="0">
      <alignment horizontal="center"/>
    </xf>
    <xf numFmtId="0" fontId="3" fillId="0" borderId="13" applyAlignment="1" pivotButton="0" quotePrefix="0" xfId="0">
      <alignment horizontal="center" vertical="center"/>
    </xf>
    <xf numFmtId="0" fontId="3" fillId="0" borderId="14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2" borderId="17" applyAlignment="1" pivotButton="0" quotePrefix="0" xfId="0">
      <alignment horizontal="center" vertical="center"/>
    </xf>
    <xf numFmtId="0" fontId="0" fillId="2" borderId="5" applyAlignment="1" pivotButton="0" quotePrefix="0" xfId="0">
      <alignment horizontal="center" vertical="center"/>
    </xf>
    <xf numFmtId="0" fontId="0" fillId="0" borderId="19" applyAlignment="1" pivotButton="0" quotePrefix="0" xfId="0">
      <alignment horizontal="center" vertical="center"/>
    </xf>
    <xf numFmtId="0" fontId="0" fillId="0" borderId="20" applyAlignment="1" pivotButton="0" quotePrefix="0" xfId="0">
      <alignment vertical="center"/>
    </xf>
    <xf numFmtId="0" fontId="0" fillId="0" borderId="20" applyAlignment="1" pivotButton="0" quotePrefix="0" xfId="0">
      <alignment horizontal="center" vertical="center"/>
    </xf>
    <xf numFmtId="0" fontId="0" fillId="0" borderId="21" applyAlignment="1" pivotButton="0" quotePrefix="0" xfId="0">
      <alignment vertical="center"/>
    </xf>
    <xf numFmtId="0" fontId="0" fillId="0" borderId="17" applyAlignment="1" pivotButton="0" quotePrefix="0" xfId="0">
      <alignment vertical="center"/>
    </xf>
    <xf numFmtId="0" fontId="0" fillId="0" borderId="18" applyAlignment="1" pivotButton="0" quotePrefix="0" xfId="0">
      <alignment vertical="center"/>
    </xf>
    <xf numFmtId="0" fontId="0" fillId="2" borderId="13" applyAlignment="1" pivotButton="0" quotePrefix="0" xfId="0">
      <alignment horizontal="center" vertical="center"/>
    </xf>
    <xf numFmtId="0" fontId="0" fillId="2" borderId="14" applyAlignment="1" pivotButton="0" quotePrefix="0" xfId="0">
      <alignment horizontal="center" vertical="center"/>
    </xf>
    <xf numFmtId="0" fontId="0" fillId="2" borderId="15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/>
    </xf>
    <xf numFmtId="0" fontId="9" fillId="3" borderId="1" applyAlignment="1" pivotButton="0" quotePrefix="0" xfId="0">
      <alignment horizontal="center"/>
    </xf>
    <xf numFmtId="166" fontId="0" fillId="0" borderId="1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2" borderId="22" applyAlignment="1" pivotButton="0" quotePrefix="0" xfId="0">
      <alignment horizontal="center" vertical="center"/>
    </xf>
    <xf numFmtId="0" fontId="0" fillId="2" borderId="23" applyAlignment="1" pivotButton="0" quotePrefix="0" xfId="0">
      <alignment horizontal="center"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5" fillId="3" borderId="11" applyAlignment="1" pivotButton="0" quotePrefix="0" xfId="2">
      <alignment horizontal="center"/>
    </xf>
    <xf numFmtId="0" fontId="5" fillId="3" borderId="12" applyAlignment="1" pivotButton="0" quotePrefix="0" xfId="2">
      <alignment horizontal="center"/>
    </xf>
    <xf numFmtId="164" fontId="0" fillId="0" borderId="1" applyAlignment="1" pivotButton="0" quotePrefix="0" xfId="1">
      <alignment horizontal="center"/>
    </xf>
    <xf numFmtId="166" fontId="0" fillId="0" borderId="1" applyAlignment="1" pivotButton="0" quotePrefix="0" xfId="0">
      <alignment horizontal="center"/>
    </xf>
    <xf numFmtId="0" fontId="0" fillId="0" borderId="23" pivotButton="0" quotePrefix="0" xfId="0"/>
    <xf numFmtId="0" fontId="0" fillId="0" borderId="15" applyAlignment="1" pivotButton="0" quotePrefix="0" xfId="0">
      <alignment vertical="center"/>
    </xf>
    <xf numFmtId="0" fontId="0" fillId="0" borderId="25" pivotButton="0" quotePrefix="0" xfId="0"/>
    <xf numFmtId="164" fontId="0" fillId="0" borderId="1" pivotButton="0" quotePrefix="0" xfId="3"/>
    <xf numFmtId="0" fontId="5" fillId="3" borderId="1" applyAlignment="1" pivotButton="0" quotePrefix="0" xfId="2">
      <alignment horizontal="center"/>
    </xf>
    <xf numFmtId="0" fontId="0" fillId="0" borderId="12" pivotButton="0" quotePrefix="0" xfId="0"/>
    <xf numFmtId="164" fontId="5" fillId="0" borderId="1" pivotButton="0" quotePrefix="0" xfId="2"/>
  </cellXfs>
  <cellStyles count="4">
    <cellStyle name="표준" xfId="0" builtinId="0"/>
    <cellStyle name="쉼표 [0]" xfId="1" builtinId="6"/>
    <cellStyle name="표준 2" xfId="2"/>
    <cellStyle name="쉼표 [0] 2" xfId="3"/>
  </cellStyles>
  <dxfs count="1">
    <dxf>
      <fill>
        <patternFill patternType="solid">
          <fgColor rgb="FF00B0F0"/>
          <bgColor rgb="FF0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차트작업!$A$4</f>
              <strCache>
                <ptCount val="1"/>
                <pt idx="0">
                  <v>김멸치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차트작업!$B$3:$G$3</f>
              <strCache>
                <ptCount val="6"/>
                <pt idx="0">
                  <v>검사번호</v>
                </pt>
                <pt idx="1">
                  <v>언어 이해</v>
                </pt>
                <pt idx="2">
                  <v>작업 기억</v>
                </pt>
                <pt idx="3">
                  <v>지각 추론</v>
                </pt>
                <pt idx="4">
                  <v>처리 속도</v>
                </pt>
                <pt idx="5">
                  <v>평균지능</v>
                </pt>
              </strCache>
            </strRef>
          </cat>
          <val>
            <numRef>
              <f>차트작업!$B$4:$G$4</f>
              <numCache>
                <formatCode>General</formatCode>
                <ptCount val="6"/>
                <pt idx="0">
                  <v>1</v>
                </pt>
                <pt idx="1">
                  <v>95</v>
                </pt>
                <pt idx="2">
                  <v>100</v>
                </pt>
                <pt idx="3">
                  <v>98</v>
                </pt>
                <pt idx="4">
                  <v>120</v>
                </pt>
                <pt idx="5">
                  <v>103</v>
                </pt>
              </numCache>
            </numRef>
          </val>
        </ser>
        <ser>
          <idx val="1"/>
          <order val="1"/>
          <tx>
            <strRef>
              <f>차트작업!$A$5</f>
              <strCache>
                <ptCount val="1"/>
                <pt idx="0">
                  <v>최참치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차트작업!$B$3:$G$3</f>
              <strCache>
                <ptCount val="6"/>
                <pt idx="0">
                  <v>검사번호</v>
                </pt>
                <pt idx="1">
                  <v>언어 이해</v>
                </pt>
                <pt idx="2">
                  <v>작업 기억</v>
                </pt>
                <pt idx="3">
                  <v>지각 추론</v>
                </pt>
                <pt idx="4">
                  <v>처리 속도</v>
                </pt>
                <pt idx="5">
                  <v>평균지능</v>
                </pt>
              </strCache>
            </strRef>
          </cat>
          <val>
            <numRef>
              <f>차트작업!$B$5:$G$5</f>
              <numCache>
                <formatCode>General</formatCode>
                <ptCount val="6"/>
                <pt idx="0">
                  <v>2</v>
                </pt>
                <pt idx="1">
                  <v>104</v>
                </pt>
                <pt idx="2">
                  <v>115</v>
                </pt>
                <pt idx="3">
                  <v>105</v>
                </pt>
                <pt idx="4">
                  <v>100</v>
                </pt>
                <pt idx="5">
                  <v>106</v>
                </pt>
              </numCache>
            </numRef>
          </val>
        </ser>
        <ser>
          <idx val="2"/>
          <order val="2"/>
          <tx>
            <strRef>
              <f>차트작업!$A$6</f>
              <strCache>
                <ptCount val="1"/>
                <pt idx="0">
                  <v>박농어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차트작업!$B$3:$G$3</f>
              <strCache>
                <ptCount val="6"/>
                <pt idx="0">
                  <v>검사번호</v>
                </pt>
                <pt idx="1">
                  <v>언어 이해</v>
                </pt>
                <pt idx="2">
                  <v>작업 기억</v>
                </pt>
                <pt idx="3">
                  <v>지각 추론</v>
                </pt>
                <pt idx="4">
                  <v>처리 속도</v>
                </pt>
                <pt idx="5">
                  <v>평균지능</v>
                </pt>
              </strCache>
            </strRef>
          </cat>
          <val>
            <numRef>
              <f>차트작업!$B$6:$G$6</f>
              <numCache>
                <formatCode>General</formatCode>
                <ptCount val="6"/>
                <pt idx="0">
                  <v>3</v>
                </pt>
                <pt idx="1">
                  <v>120</v>
                </pt>
                <pt idx="2">
                  <v>130</v>
                </pt>
                <pt idx="3">
                  <v>134</v>
                </pt>
                <pt idx="4">
                  <v>127</v>
                </pt>
                <pt idx="5">
                  <v>127</v>
                </pt>
              </numCache>
            </numRef>
          </val>
        </ser>
        <ser>
          <idx val="3"/>
          <order val="3"/>
          <tx>
            <strRef>
              <f>차트작업!$A$7</f>
              <strCache>
                <ptCount val="1"/>
                <pt idx="0">
                  <v>남궁연어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차트작업!$B$3:$G$3</f>
              <strCache>
                <ptCount val="6"/>
                <pt idx="0">
                  <v>검사번호</v>
                </pt>
                <pt idx="1">
                  <v>언어 이해</v>
                </pt>
                <pt idx="2">
                  <v>작업 기억</v>
                </pt>
                <pt idx="3">
                  <v>지각 추론</v>
                </pt>
                <pt idx="4">
                  <v>처리 속도</v>
                </pt>
                <pt idx="5">
                  <v>평균지능</v>
                </pt>
              </strCache>
            </strRef>
          </cat>
          <val>
            <numRef>
              <f>차트작업!$B$7:$G$7</f>
              <numCache>
                <formatCode>General</formatCode>
                <ptCount val="6"/>
                <pt idx="0">
                  <v>4</v>
                </pt>
                <pt idx="1">
                  <v>115</v>
                </pt>
                <pt idx="2">
                  <v>105</v>
                </pt>
                <pt idx="3">
                  <v>110</v>
                </pt>
                <pt idx="4">
                  <v>98</v>
                </pt>
                <pt idx="5">
                  <v>107</v>
                </pt>
              </numCache>
            </numRef>
          </val>
        </ser>
        <ser>
          <idx val="4"/>
          <order val="4"/>
          <tx>
            <strRef>
              <f>차트작업!$A$8</f>
              <strCache>
                <ptCount val="1"/>
                <pt idx="0">
                  <v>권장어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차트작업!$B$3:$G$3</f>
              <strCache>
                <ptCount val="6"/>
                <pt idx="0">
                  <v>검사번호</v>
                </pt>
                <pt idx="1">
                  <v>언어 이해</v>
                </pt>
                <pt idx="2">
                  <v>작업 기억</v>
                </pt>
                <pt idx="3">
                  <v>지각 추론</v>
                </pt>
                <pt idx="4">
                  <v>처리 속도</v>
                </pt>
                <pt idx="5">
                  <v>평균지능</v>
                </pt>
              </strCache>
            </strRef>
          </cat>
          <val>
            <numRef>
              <f>차트작업!$B$8:$G$8</f>
              <numCache>
                <formatCode>General</formatCode>
                <ptCount val="6"/>
                <pt idx="0">
                  <v>5</v>
                </pt>
                <pt idx="1">
                  <v>100</v>
                </pt>
                <pt idx="2">
                  <v>103</v>
                </pt>
                <pt idx="3">
                  <v>115</v>
                </pt>
                <pt idx="4">
                  <v>100</v>
                </pt>
                <pt idx="5">
                  <v>104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29459887"/>
        <axId val="1729460719"/>
      </barChart>
      <catAx>
        <axId val="172945988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29460719"/>
        <crosses val="autoZero"/>
        <auto val="1"/>
        <lblAlgn val="ctr"/>
        <lblOffset val="100"/>
        <noMultiLvlLbl val="0"/>
      </catAx>
      <valAx>
        <axId val="1729460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294598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11</row>
      <rowOff>9525</rowOff>
    </from>
    <to>
      <col>7</col>
      <colOff>9524</colOff>
      <row>24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3" zoomScaleNormal="100" workbookViewId="0">
      <selection activeCell="C34" sqref="C34:C35"/>
    </sheetView>
  </sheetViews>
  <sheetFormatPr baseColWidth="8" defaultRowHeight="16.5"/>
  <cols>
    <col width="9" customWidth="1" style="2" min="1" max="1"/>
    <col width="15.125" bestFit="1" customWidth="1" style="2" min="2" max="2"/>
    <col width="10.25" bestFit="1" customWidth="1" style="2" min="3" max="3"/>
    <col width="9" customWidth="1" style="2" min="4" max="5"/>
    <col width="12.875" bestFit="1" customWidth="1" style="2" min="6" max="6"/>
    <col width="9" customWidth="1" style="2" min="7" max="16384"/>
  </cols>
  <sheetData>
    <row r="1">
      <c r="A1" t="inlineStr">
        <is>
          <t>정수기 제품 정보</t>
        </is>
      </c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H12"/>
  <sheetViews>
    <sheetView tabSelected="1" zoomScaleNormal="100" workbookViewId="0">
      <selection activeCell="B9" sqref="B9"/>
    </sheetView>
  </sheetViews>
  <sheetFormatPr baseColWidth="8" defaultRowHeight="16.5"/>
  <cols>
    <col width="9" customWidth="1" style="2" min="1" max="1"/>
    <col width="13.75" bestFit="1" customWidth="1" style="2" min="2" max="2"/>
    <col width="12.375" bestFit="1" customWidth="1" style="2" min="3" max="3"/>
    <col width="13.75" bestFit="1" customWidth="1" style="2" min="4" max="5"/>
    <col width="9.625" bestFit="1" customWidth="1" style="2" min="6" max="6"/>
    <col width="15.125" bestFit="1" customWidth="1" style="2" min="7" max="7"/>
    <col width="9" customWidth="1" style="2" min="8" max="16384"/>
  </cols>
  <sheetData>
    <row r="1">
      <c r="A1" s="0" t="n"/>
      <c r="B1" s="0" t="n"/>
      <c r="C1" s="0" t="n"/>
      <c r="D1" s="0" t="n"/>
      <c r="E1" s="0" t="n"/>
      <c r="F1" s="0" t="n"/>
      <c r="G1" s="0" t="n"/>
      <c r="H1" s="0" t="n"/>
    </row>
    <row r="2">
      <c r="A2" s="0" t="inlineStr">
        <is>
          <t>1년간 제품 수출 현황</t>
        </is>
      </c>
      <c r="B2" s="0" t="n"/>
      <c r="C2" s="0" t="n"/>
      <c r="D2" s="0" t="n"/>
      <c r="E2" s="0" t="n"/>
      <c r="F2" s="0" t="n"/>
      <c r="G2" s="0" t="n"/>
      <c r="H2" s="0" t="n"/>
    </row>
    <row r="3">
      <c r="A3" s="0" t="inlineStr">
        <is>
          <t>제품 번호</t>
        </is>
      </c>
      <c r="B3" s="0" t="inlineStr">
        <is>
          <t>제품명</t>
        </is>
      </c>
      <c r="C3" s="0" t="inlineStr">
        <is>
          <t>판매가(달러)</t>
        </is>
      </c>
      <c r="D3" s="0" t="inlineStr">
        <is>
          <t>상반기 수출량</t>
        </is>
      </c>
      <c r="E3" s="0" t="inlineStr">
        <is>
          <t>하반기 수출량</t>
        </is>
      </c>
      <c r="F3" s="0" t="inlineStr">
        <is>
          <t>총 수출량</t>
        </is>
      </c>
      <c r="G3" s="0" t="inlineStr">
        <is>
          <t>총 수출액(달러)</t>
        </is>
      </c>
      <c r="H3" s="0" t="n"/>
    </row>
    <row r="4">
      <c r="A4" s="0" t="n">
        <v>1415</v>
      </c>
      <c r="B4" s="0" t="inlineStr">
        <is>
          <t>강철 용수철</t>
        </is>
      </c>
      <c r="C4" s="0" t="n">
        <v>59</v>
      </c>
      <c r="D4" s="0" t="n">
        <v>500</v>
      </c>
      <c r="E4" s="0" t="n">
        <v>500</v>
      </c>
      <c r="F4" s="0" t="n">
        <v>1000</v>
      </c>
      <c r="G4" s="0" t="n">
        <v>59000</v>
      </c>
      <c r="H4" s="0" t="n"/>
    </row>
    <row r="5">
      <c r="A5" s="0" t="n">
        <v>9265</v>
      </c>
      <c r="B5" s="0" t="inlineStr">
        <is>
          <t>구리 용수구리</t>
        </is>
      </c>
      <c r="C5" s="0" t="n">
        <v>79</v>
      </c>
      <c r="D5" s="0" t="n">
        <v>600</v>
      </c>
      <c r="E5" s="0" t="n">
        <v>750</v>
      </c>
      <c r="F5" s="0" t="n">
        <v>1350</v>
      </c>
      <c r="G5" s="0" t="n">
        <v>106650</v>
      </c>
      <c r="H5" s="0" t="n"/>
    </row>
    <row r="6">
      <c r="A6" s="0" t="n">
        <v>3589</v>
      </c>
      <c r="B6" s="0" t="inlineStr">
        <is>
          <t>황금 용수금</t>
        </is>
      </c>
      <c r="C6" s="0" t="n">
        <v>80</v>
      </c>
      <c r="D6" s="0" t="n">
        <v>600</v>
      </c>
      <c r="E6" s="0" t="n">
        <v>600</v>
      </c>
      <c r="F6" s="0" t="n">
        <v>1200</v>
      </c>
      <c r="G6" s="0" t="n">
        <v>96000</v>
      </c>
      <c r="H6" s="0" t="n"/>
    </row>
    <row r="7">
      <c r="A7" s="0" t="n">
        <v>7932</v>
      </c>
      <c r="B7" s="0" t="inlineStr">
        <is>
          <t>청동 막대기</t>
        </is>
      </c>
      <c r="C7" s="0" t="n">
        <v>45</v>
      </c>
      <c r="D7" s="0" t="n">
        <v>500</v>
      </c>
      <c r="E7" s="0" t="n">
        <v>520</v>
      </c>
      <c r="F7" s="0" t="n">
        <v>1020</v>
      </c>
      <c r="G7" s="0" t="n">
        <v>45900</v>
      </c>
      <c r="H7" s="0" t="n"/>
    </row>
    <row r="8">
      <c r="A8" s="0" t="n">
        <v>3846</v>
      </c>
      <c r="B8" s="0" t="inlineStr">
        <is>
          <t>나무 막대기</t>
        </is>
      </c>
      <c r="C8" s="0" t="n">
        <v>30</v>
      </c>
      <c r="D8" s="0" t="n">
        <v>450</v>
      </c>
      <c r="E8" s="0" t="n">
        <v>600</v>
      </c>
      <c r="F8" s="0" t="n">
        <v>1050</v>
      </c>
      <c r="G8" s="0" t="n">
        <v>31500</v>
      </c>
      <c r="H8" s="0" t="n"/>
    </row>
    <row r="9">
      <c r="A9" s="0" t="n">
        <v>2643</v>
      </c>
      <c r="B9" s="0" t="inlineStr">
        <is>
          <t>유리 판떼기</t>
        </is>
      </c>
      <c r="C9" s="0" t="n">
        <v>50</v>
      </c>
      <c r="D9" s="0" t="n">
        <v>200</v>
      </c>
      <c r="E9" s="0" t="n">
        <v>400</v>
      </c>
      <c r="F9" s="0" t="n">
        <v>600</v>
      </c>
      <c r="G9" s="0" t="n">
        <v>30000</v>
      </c>
      <c r="H9" s="0" t="n"/>
    </row>
    <row r="10">
      <c r="A10" s="0" t="n"/>
      <c r="B10" s="0" t="n"/>
      <c r="C10" s="0" t="n"/>
      <c r="D10" s="0" t="n"/>
      <c r="E10" s="0" t="n"/>
      <c r="F10" s="0" t="n"/>
      <c r="G10" s="0" t="n"/>
      <c r="H10" s="0" t="n"/>
    </row>
    <row r="11">
      <c r="A11" s="0" t="n"/>
      <c r="B11" s="0" t="n"/>
      <c r="C11" s="0" t="n"/>
      <c r="D11" s="0" t="n"/>
      <c r="E11" s="0" t="n"/>
      <c r="F11" s="0" t="n"/>
      <c r="G11" s="0" t="n"/>
      <c r="H11" s="0" t="n"/>
    </row>
    <row r="12">
      <c r="A12" s="0" t="n"/>
      <c r="B12" s="0" t="n"/>
      <c r="C12" s="0" t="n"/>
      <c r="D12" s="0" t="n"/>
      <c r="E12" s="0" t="n"/>
      <c r="F12" s="0" t="n"/>
      <c r="G12" s="0" t="n"/>
      <c r="H12" s="0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F20"/>
  <sheetViews>
    <sheetView zoomScaleNormal="100" workbookViewId="0">
      <selection activeCell="E9" sqref="E9"/>
    </sheetView>
  </sheetViews>
  <sheetFormatPr baseColWidth="8" defaultRowHeight="16.5"/>
  <cols>
    <col width="12.875" bestFit="1" customWidth="1" style="2" min="1" max="1"/>
    <col width="9.25" customWidth="1" style="2" min="2" max="2"/>
    <col width="9" customWidth="1" style="2" min="3" max="4"/>
    <col width="13" bestFit="1" customWidth="1" style="2" min="5" max="5"/>
    <col width="9" customWidth="1" style="2" min="6" max="16384"/>
  </cols>
  <sheetData>
    <row r="1">
      <c r="A1" t="inlineStr">
        <is>
          <t>GIGABOX 팝콘 판매 현황</t>
        </is>
      </c>
    </row>
    <row r="2">
      <c r="A2" s="3" t="inlineStr">
        <is>
          <t>메뉴</t>
        </is>
      </c>
      <c r="B2" s="3" t="inlineStr">
        <is>
          <t>사이즈</t>
        </is>
      </c>
      <c r="C2" s="3" t="inlineStr">
        <is>
          <t>가격</t>
        </is>
      </c>
      <c r="D2" s="3" t="inlineStr">
        <is>
          <t>판매량</t>
        </is>
      </c>
      <c r="E2" s="3" t="inlineStr">
        <is>
          <t>어울리는음료</t>
        </is>
      </c>
    </row>
    <row r="3">
      <c r="A3" s="4" t="inlineStr">
        <is>
          <t>팝콘</t>
        </is>
      </c>
      <c r="B3" s="4" t="inlineStr">
        <is>
          <t>M</t>
        </is>
      </c>
      <c r="C3" s="4" t="n">
        <v>4000</v>
      </c>
      <c r="D3" s="4" t="n">
        <v>141</v>
      </c>
      <c r="E3" s="4" t="inlineStr">
        <is>
          <t>콜라</t>
        </is>
      </c>
    </row>
    <row r="4">
      <c r="A4" s="4" t="inlineStr">
        <is>
          <t>팝콘</t>
        </is>
      </c>
      <c r="B4" s="4" t="inlineStr">
        <is>
          <t>L</t>
        </is>
      </c>
      <c r="C4" s="4" t="n">
        <v>4500</v>
      </c>
      <c r="D4" s="4" t="n">
        <v>592</v>
      </c>
      <c r="E4" s="4" t="inlineStr">
        <is>
          <t>콜라</t>
        </is>
      </c>
    </row>
    <row r="5">
      <c r="A5" s="4" t="inlineStr">
        <is>
          <t>카라멜팝콘</t>
        </is>
      </c>
      <c r="B5" s="4" t="inlineStr">
        <is>
          <t>M</t>
        </is>
      </c>
      <c r="C5" s="4" t="n">
        <v>4500</v>
      </c>
      <c r="D5" s="4" t="n">
        <v>653</v>
      </c>
      <c r="E5" s="4" t="inlineStr">
        <is>
          <t>콜라</t>
        </is>
      </c>
    </row>
    <row r="6">
      <c r="A6" s="4" t="inlineStr">
        <is>
          <t>카라멜팝콘</t>
        </is>
      </c>
      <c r="B6" s="4" t="inlineStr">
        <is>
          <t>L</t>
        </is>
      </c>
      <c r="C6" s="4" t="n">
        <v>5000</v>
      </c>
      <c r="D6" s="4" t="n">
        <v>589</v>
      </c>
      <c r="E6" s="4" t="inlineStr">
        <is>
          <t>콜라</t>
        </is>
      </c>
    </row>
    <row r="7">
      <c r="A7" s="4" t="inlineStr">
        <is>
          <t>치즈팝콘</t>
        </is>
      </c>
      <c r="B7" s="4" t="inlineStr">
        <is>
          <t>M</t>
        </is>
      </c>
      <c r="C7" s="4" t="n">
        <v>5000</v>
      </c>
      <c r="D7" s="4" t="n">
        <v>793</v>
      </c>
      <c r="E7" s="4" t="inlineStr">
        <is>
          <t>콜라</t>
        </is>
      </c>
    </row>
    <row r="8">
      <c r="A8" s="4" t="inlineStr">
        <is>
          <t>치즈팝콘</t>
        </is>
      </c>
      <c r="B8" s="4" t="inlineStr">
        <is>
          <t>L</t>
        </is>
      </c>
      <c r="C8" s="4" t="n">
        <v>5500</v>
      </c>
      <c r="D8" s="4" t="n">
        <v>238</v>
      </c>
      <c r="E8" s="4" t="inlineStr">
        <is>
          <t>콜라</t>
        </is>
      </c>
    </row>
    <row r="9">
      <c r="A9" s="4" t="inlineStr">
        <is>
          <t>갈릭팝콘</t>
        </is>
      </c>
      <c r="B9" s="4" t="inlineStr">
        <is>
          <t>M</t>
        </is>
      </c>
      <c r="C9" s="4" t="n">
        <v>4500</v>
      </c>
      <c r="D9" s="4" t="n">
        <v>462</v>
      </c>
      <c r="E9" s="4" t="inlineStr">
        <is>
          <t>콜라</t>
        </is>
      </c>
    </row>
    <row r="10">
      <c r="A10" s="4" t="inlineStr">
        <is>
          <t>갈릭팝콘</t>
        </is>
      </c>
      <c r="B10" s="4" t="inlineStr">
        <is>
          <t>L</t>
        </is>
      </c>
      <c r="C10" s="4" t="n">
        <v>5000</v>
      </c>
      <c r="D10" s="4" t="n">
        <v>643</v>
      </c>
      <c r="E10" s="4" t="inlineStr">
        <is>
          <t>콜라</t>
        </is>
      </c>
    </row>
    <row r="12">
      <c r="A12" s="0" t="n"/>
      <c r="B12" s="0" t="n"/>
      <c r="C12" s="0" t="n"/>
      <c r="D12" s="0" t="n"/>
      <c r="E12" s="0" t="n"/>
      <c r="F12" s="0" t="n"/>
    </row>
    <row r="13">
      <c r="A13" s="0" t="n"/>
      <c r="B13" s="0" t="n"/>
      <c r="C13" s="0" t="n"/>
      <c r="D13" s="0" t="n"/>
      <c r="E13" s="0" t="n"/>
      <c r="F13" s="0" t="n"/>
    </row>
    <row r="14">
      <c r="A14" s="0" t="n"/>
      <c r="B14" s="0" t="n"/>
      <c r="C14" s="0" t="n"/>
      <c r="D14" s="0" t="n"/>
      <c r="E14" s="0" t="n"/>
      <c r="F14" s="0" t="n"/>
    </row>
    <row r="15">
      <c r="A15" s="0" t="n"/>
      <c r="B15" s="0" t="n"/>
      <c r="C15" s="0" t="n"/>
      <c r="D15" s="0" t="n"/>
      <c r="E15" s="0" t="n"/>
      <c r="F15" s="0" t="n"/>
    </row>
    <row r="16">
      <c r="A16" s="0" t="n"/>
      <c r="B16" s="0" t="n"/>
      <c r="C16" s="0" t="n"/>
      <c r="D16" s="0" t="n"/>
      <c r="E16" s="0" t="n"/>
      <c r="F16" s="0" t="n"/>
    </row>
    <row r="17">
      <c r="A17" s="0" t="n"/>
      <c r="B17" s="0" t="n"/>
      <c r="C17" s="0" t="n"/>
      <c r="D17" s="0" t="n"/>
      <c r="E17" s="0" t="n"/>
      <c r="F17" s="0" t="n"/>
    </row>
    <row r="18">
      <c r="A18" s="0" t="n"/>
      <c r="B18" s="0" t="n"/>
      <c r="C18" s="0" t="n"/>
      <c r="D18" s="0" t="n"/>
      <c r="E18" s="0" t="n"/>
      <c r="F18" s="0" t="n"/>
    </row>
    <row r="19">
      <c r="A19" s="0" t="n"/>
      <c r="B19" s="0" t="n"/>
      <c r="C19" s="0" t="n"/>
      <c r="D19" s="0" t="n"/>
      <c r="E19" s="0" t="n"/>
      <c r="F19" s="0" t="n"/>
    </row>
    <row r="20">
      <c r="A20" s="0" t="n"/>
      <c r="B20" s="0" t="n"/>
      <c r="C20" s="0" t="n"/>
      <c r="D20" s="0" t="n"/>
      <c r="E20" s="0" t="n"/>
      <c r="F20" s="0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1">
    <outlinePr summaryBelow="1" summaryRight="1"/>
    <pageSetUpPr/>
  </sheetPr>
  <dimension ref="A1:J28"/>
  <sheetViews>
    <sheetView workbookViewId="0">
      <selection activeCell="E23" sqref="E23"/>
    </sheetView>
  </sheetViews>
  <sheetFormatPr baseColWidth="8" defaultRowHeight="16.5"/>
  <cols>
    <col width="11" bestFit="1" customWidth="1" style="2" min="1" max="1"/>
    <col width="9" customWidth="1" style="2" min="2" max="3"/>
    <col width="18.625" customWidth="1" style="2" min="4" max="4"/>
    <col width="9" customWidth="1" style="2" min="5" max="7"/>
    <col width="10.25" bestFit="1" customWidth="1" style="2" min="8" max="8"/>
    <col width="9" customWidth="1" style="2" min="9" max="9"/>
    <col width="12.375" bestFit="1" customWidth="1" style="2" min="10" max="10"/>
    <col width="9" customWidth="1" style="2" min="11" max="16384"/>
  </cols>
  <sheetData>
    <row r="1">
      <c r="A1" t="inlineStr">
        <is>
          <t>[표1]</t>
        </is>
      </c>
      <c r="F1" t="inlineStr">
        <is>
          <t>[표2]</t>
        </is>
      </c>
    </row>
    <row r="2">
      <c r="A2" s="3" t="inlineStr">
        <is>
          <t>제품 코드</t>
        </is>
      </c>
      <c r="B2" s="3" t="inlineStr">
        <is>
          <t>제품 가격</t>
        </is>
      </c>
      <c r="C2" s="3" t="inlineStr">
        <is>
          <t>제품 색</t>
        </is>
      </c>
      <c r="F2" s="3" t="inlineStr">
        <is>
          <t>휴지 이름</t>
        </is>
      </c>
      <c r="G2" s="3" t="inlineStr">
        <is>
          <t>종류</t>
        </is>
      </c>
      <c r="H2" s="3" t="inlineStr">
        <is>
          <t>휴지 칸 수</t>
        </is>
      </c>
      <c r="I2" s="3" t="inlineStr">
        <is>
          <t>겹 수</t>
        </is>
      </c>
      <c r="J2" s="3" t="inlineStr">
        <is>
          <t>점수</t>
        </is>
      </c>
    </row>
    <row r="3">
      <c r="A3" s="4" t="inlineStr">
        <is>
          <t>BL-003</t>
        </is>
      </c>
      <c r="B3" s="66" t="n">
        <v>31000</v>
      </c>
      <c r="C3" s="4" t="n"/>
      <c r="F3" s="4" t="inlineStr">
        <is>
          <t>흰휴지</t>
        </is>
      </c>
      <c r="G3" s="4" t="inlineStr">
        <is>
          <t>두루마리</t>
        </is>
      </c>
      <c r="H3" s="4" t="n">
        <v>154</v>
      </c>
      <c r="I3" s="4" t="n">
        <v>2</v>
      </c>
      <c r="J3" s="4" t="n"/>
    </row>
    <row r="4">
      <c r="A4" s="4" t="inlineStr">
        <is>
          <t>BL-021</t>
        </is>
      </c>
      <c r="B4" s="66" t="n">
        <v>59000</v>
      </c>
      <c r="C4" s="4" t="n"/>
      <c r="F4" s="4" t="inlineStr">
        <is>
          <t>깔끔지</t>
        </is>
      </c>
      <c r="G4" s="4" t="inlineStr">
        <is>
          <t>두루마리</t>
        </is>
      </c>
      <c r="H4" s="4" t="n">
        <v>153</v>
      </c>
      <c r="I4" s="4" t="n">
        <v>2</v>
      </c>
      <c r="J4" s="4" t="n"/>
    </row>
    <row r="5">
      <c r="A5" s="4" t="inlineStr">
        <is>
          <t>WH-031</t>
        </is>
      </c>
      <c r="B5" s="66" t="n">
        <v>43000</v>
      </c>
      <c r="C5" s="4" t="n"/>
      <c r="F5" s="4" t="inlineStr">
        <is>
          <t>화장지</t>
        </is>
      </c>
      <c r="G5" s="4" t="inlineStr">
        <is>
          <t>두루마리</t>
        </is>
      </c>
      <c r="H5" s="4" t="n">
        <v>120</v>
      </c>
      <c r="I5" s="4" t="n">
        <v>3</v>
      </c>
      <c r="J5" s="4" t="n"/>
    </row>
    <row r="6">
      <c r="A6" s="4" t="inlineStr">
        <is>
          <t>WH-211</t>
        </is>
      </c>
      <c r="B6" s="66" t="n">
        <v>44000</v>
      </c>
      <c r="C6" s="4" t="n"/>
      <c r="F6" s="4" t="inlineStr">
        <is>
          <t>네모휴지</t>
        </is>
      </c>
      <c r="G6" s="4" t="inlineStr">
        <is>
          <t>곽티슈</t>
        </is>
      </c>
      <c r="H6" s="4" t="n">
        <v>110</v>
      </c>
      <c r="I6" s="4" t="n">
        <v>4</v>
      </c>
      <c r="J6" s="4" t="n"/>
    </row>
    <row r="7">
      <c r="A7" s="4" t="inlineStr">
        <is>
          <t>BL-034</t>
        </is>
      </c>
      <c r="B7" s="66" t="n">
        <v>35000</v>
      </c>
      <c r="C7" s="4" t="n"/>
      <c r="F7" s="4" t="inlineStr">
        <is>
          <t>돌돌돌돌</t>
        </is>
      </c>
      <c r="G7" s="4" t="inlineStr">
        <is>
          <t>두루마리</t>
        </is>
      </c>
      <c r="H7" s="4" t="n">
        <v>130</v>
      </c>
      <c r="I7" s="4" t="n">
        <v>3</v>
      </c>
      <c r="J7" s="4" t="n"/>
    </row>
    <row r="9">
      <c r="A9" t="inlineStr">
        <is>
          <t>[표3]</t>
        </is>
      </c>
      <c r="F9" t="inlineStr">
        <is>
          <t>[표4]</t>
        </is>
      </c>
    </row>
    <row r="10">
      <c r="A10" s="3" t="inlineStr">
        <is>
          <t>이름</t>
        </is>
      </c>
      <c r="B10" s="3" t="inlineStr">
        <is>
          <t>등급</t>
        </is>
      </c>
      <c r="C10" s="3" t="inlineStr">
        <is>
          <t>포인트</t>
        </is>
      </c>
      <c r="D10" s="3" t="inlineStr">
        <is>
          <t>승급여부</t>
        </is>
      </c>
      <c r="F10" s="3" t="inlineStr">
        <is>
          <t>꿈틀이</t>
        </is>
      </c>
      <c r="G10" s="3" t="inlineStr">
        <is>
          <t>꾸물이</t>
        </is>
      </c>
      <c r="H10" s="3" t="inlineStr">
        <is>
          <t>꼬물이</t>
        </is>
      </c>
      <c r="I10" s="3" t="inlineStr">
        <is>
          <t>꿈틀꿈틀</t>
        </is>
      </c>
    </row>
    <row r="11">
      <c r="A11" s="4" t="inlineStr">
        <is>
          <t>박**</t>
        </is>
      </c>
      <c r="B11" s="4" t="inlineStr">
        <is>
          <t>VIP</t>
        </is>
      </c>
      <c r="C11" s="4" t="n">
        <v>13000</v>
      </c>
      <c r="D11" s="4" t="n"/>
      <c r="F11" s="4" t="inlineStr">
        <is>
          <t xml:space="preserve">  (      )</t>
        </is>
      </c>
      <c r="G11" s="4" t="inlineStr">
        <is>
          <t>ㅇ.ㅇ</t>
        </is>
      </c>
      <c r="H11" s="4" t="inlineStr">
        <is>
          <t>(      )</t>
        </is>
      </c>
      <c r="I11" s="4" t="n"/>
    </row>
    <row r="12">
      <c r="A12" s="4" t="inlineStr">
        <is>
          <t>최**</t>
        </is>
      </c>
      <c r="B12" s="4" t="inlineStr">
        <is>
          <t>VIP</t>
        </is>
      </c>
      <c r="C12" s="4" t="n">
        <v>3500</v>
      </c>
      <c r="D12" s="4" t="n"/>
      <c r="F12" s="4" t="inlineStr">
        <is>
          <t>(      )</t>
        </is>
      </c>
      <c r="G12" s="4" t="inlineStr">
        <is>
          <t xml:space="preserve">  (      )</t>
        </is>
      </c>
      <c r="H12" s="4" t="inlineStr">
        <is>
          <t xml:space="preserve">(      )  </t>
        </is>
      </c>
      <c r="I12" s="4" t="inlineStr">
        <is>
          <t>ㅇ.ㅇ</t>
        </is>
      </c>
    </row>
    <row r="13">
      <c r="A13" s="4" t="inlineStr">
        <is>
          <t>정*</t>
        </is>
      </c>
      <c r="B13" s="4" t="inlineStr">
        <is>
          <t>Unrank</t>
        </is>
      </c>
      <c r="C13" s="4" t="n">
        <v>300</v>
      </c>
      <c r="D13" s="4" t="n"/>
      <c r="F13" s="4" t="inlineStr">
        <is>
          <t xml:space="preserve">  (      )</t>
        </is>
      </c>
      <c r="G13" s="4" t="inlineStr">
        <is>
          <t>(      )</t>
        </is>
      </c>
      <c r="H13" s="4" t="inlineStr">
        <is>
          <t>ㅇ.ㅇ</t>
        </is>
      </c>
      <c r="I13" s="4" t="inlineStr">
        <is>
          <t>(      )</t>
        </is>
      </c>
    </row>
    <row r="14">
      <c r="A14" s="4" t="inlineStr">
        <is>
          <t>배**</t>
        </is>
      </c>
      <c r="B14" s="4" t="inlineStr">
        <is>
          <t>MVP핵</t>
        </is>
      </c>
      <c r="C14" s="67" t="n">
        <v>1</v>
      </c>
      <c r="D14" s="4" t="n"/>
      <c r="E14" s="6" t="n"/>
      <c r="F14" s="4" t="inlineStr">
        <is>
          <t>ㅇ.ㅇ</t>
        </is>
      </c>
      <c r="G14" s="4" t="inlineStr">
        <is>
          <t xml:space="preserve">(      )  </t>
        </is>
      </c>
      <c r="H14" s="4" t="n"/>
      <c r="I14" s="4" t="inlineStr">
        <is>
          <t xml:space="preserve">  (      )</t>
        </is>
      </c>
    </row>
    <row r="15">
      <c r="A15" s="4" t="inlineStr">
        <is>
          <t>김**</t>
        </is>
      </c>
      <c r="B15" s="4" t="inlineStr">
        <is>
          <t>MVP</t>
        </is>
      </c>
      <c r="C15" s="4" t="n">
        <v>35000</v>
      </c>
      <c r="D15" s="4" t="n"/>
      <c r="F15" s="4" t="n"/>
      <c r="G15" s="4" t="inlineStr">
        <is>
          <t>(      )</t>
        </is>
      </c>
      <c r="H15" s="4" t="n"/>
      <c r="I15" s="4" t="inlineStr">
        <is>
          <t>(      )</t>
        </is>
      </c>
    </row>
    <row r="16">
      <c r="F16" s="4" t="n"/>
      <c r="G16" s="4" t="inlineStr">
        <is>
          <t xml:space="preserve">(      )  </t>
        </is>
      </c>
      <c r="H16" s="4" t="n"/>
      <c r="I16" s="4" t="inlineStr">
        <is>
          <t xml:space="preserve">(      )  </t>
        </is>
      </c>
    </row>
    <row r="17">
      <c r="A17" s="4" t="inlineStr">
        <is>
          <t>등급</t>
        </is>
      </c>
      <c r="B17" s="4" t="inlineStr">
        <is>
          <t>Unrank</t>
        </is>
      </c>
      <c r="C17" s="4" t="inlineStr">
        <is>
          <t>VIP</t>
        </is>
      </c>
      <c r="D17" s="4" t="inlineStr">
        <is>
          <t>MVP</t>
        </is>
      </c>
    </row>
    <row r="18">
      <c r="A18" s="4" t="inlineStr">
        <is>
          <t>승급포인트</t>
        </is>
      </c>
      <c r="B18" s="4" t="n">
        <v>5000</v>
      </c>
      <c r="C18" s="4" t="n">
        <v>10000</v>
      </c>
      <c r="D18" s="4" t="n">
        <v>30000</v>
      </c>
      <c r="F18" s="4" t="n"/>
      <c r="G18" s="4" t="n"/>
      <c r="H18" s="4" t="n"/>
      <c r="I18" s="4" t="n"/>
      <c r="J18" s="3" t="inlineStr">
        <is>
          <t>움직인 층수</t>
        </is>
      </c>
    </row>
    <row r="20">
      <c r="A20" t="inlineStr">
        <is>
          <t>[표5]</t>
        </is>
      </c>
    </row>
    <row r="21">
      <c r="A21" s="3" t="inlineStr">
        <is>
          <t>선수명</t>
        </is>
      </c>
      <c r="B21" s="3" t="inlineStr">
        <is>
          <t>사용 장비</t>
        </is>
      </c>
      <c r="C21" s="3" t="inlineStr">
        <is>
          <t>시간(초)</t>
        </is>
      </c>
      <c r="D21" s="3" t="inlineStr">
        <is>
          <t>순위</t>
        </is>
      </c>
    </row>
    <row r="22">
      <c r="A22" s="4" t="inlineStr">
        <is>
          <t>이**</t>
        </is>
      </c>
      <c r="B22" s="4" t="inlineStr">
        <is>
          <t>컴퓨터</t>
        </is>
      </c>
      <c r="C22" s="4" t="n">
        <v>55</v>
      </c>
      <c r="D22" s="4" t="n"/>
    </row>
    <row r="23">
      <c r="A23" s="4" t="inlineStr">
        <is>
          <t>최**</t>
        </is>
      </c>
      <c r="B23" s="4" t="inlineStr">
        <is>
          <t>컴퓨터</t>
        </is>
      </c>
      <c r="C23" s="4" t="n">
        <v>53</v>
      </c>
      <c r="D23" s="4" t="n"/>
    </row>
    <row r="24">
      <c r="A24" s="4" t="inlineStr">
        <is>
          <t>이**</t>
        </is>
      </c>
      <c r="B24" s="4" t="inlineStr">
        <is>
          <t>노트북</t>
        </is>
      </c>
      <c r="C24" s="4" t="n">
        <v>52</v>
      </c>
      <c r="D24" s="4" t="n"/>
    </row>
    <row r="25">
      <c r="A25" s="4" t="inlineStr">
        <is>
          <t>이**</t>
        </is>
      </c>
      <c r="B25" s="4" t="inlineStr">
        <is>
          <t>컴퓨터</t>
        </is>
      </c>
      <c r="C25" s="4" t="n">
        <v>50</v>
      </c>
      <c r="D25" s="4" t="n"/>
    </row>
    <row r="26">
      <c r="A26" s="4" t="inlineStr">
        <is>
          <t>이**</t>
        </is>
      </c>
      <c r="B26" s="4" t="inlineStr">
        <is>
          <t>노트북</t>
        </is>
      </c>
      <c r="C26" s="4" t="n">
        <v>57</v>
      </c>
      <c r="D26" s="4" t="n"/>
    </row>
    <row r="27">
      <c r="A27" s="4" t="inlineStr">
        <is>
          <t>이**</t>
        </is>
      </c>
      <c r="B27" s="4" t="inlineStr">
        <is>
          <t>컴퓨터</t>
        </is>
      </c>
      <c r="C27" s="4" t="n">
        <v>64</v>
      </c>
      <c r="D27" s="4" t="n"/>
    </row>
    <row r="28">
      <c r="A28" s="4" t="inlineStr">
        <is>
          <t>김**</t>
        </is>
      </c>
      <c r="B28" s="4" t="inlineStr">
        <is>
          <t>노트북</t>
        </is>
      </c>
      <c r="C28" s="4" t="n">
        <v>49</v>
      </c>
      <c r="D28" s="4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7"/>
  <sheetViews>
    <sheetView workbookViewId="0">
      <selection activeCell="E8" sqref="E8"/>
    </sheetView>
  </sheetViews>
  <sheetFormatPr baseColWidth="8" defaultRowHeight="16.5"/>
  <sheetData>
    <row r="1" ht="17.25" customHeight="1" s="2" thickBot="1">
      <c r="A1" s="0" t="inlineStr">
        <is>
          <t>[표1] 썬더람쥐의 도토리 거래 내역</t>
        </is>
      </c>
    </row>
    <row r="2" ht="17.25" customHeight="1" s="2" thickBot="1">
      <c r="A2" s="53" t="inlineStr">
        <is>
          <t>지출내용</t>
        </is>
      </c>
      <c r="B2" s="54" t="inlineStr">
        <is>
          <t>지출량</t>
        </is>
      </c>
      <c r="C2" s="54" t="inlineStr">
        <is>
          <t>소득내용</t>
        </is>
      </c>
      <c r="D2" s="55" t="inlineStr">
        <is>
          <t>소득량</t>
        </is>
      </c>
    </row>
    <row r="3">
      <c r="A3" s="41" t="inlineStr">
        <is>
          <t>대출상환</t>
        </is>
      </c>
      <c r="B3" s="51" t="n">
        <v>500</v>
      </c>
      <c r="C3" s="42" t="inlineStr">
        <is>
          <t>직접수확</t>
        </is>
      </c>
      <c r="D3" s="52" t="n">
        <v>150</v>
      </c>
    </row>
    <row r="4">
      <c r="A4" s="36" t="inlineStr">
        <is>
          <t>자제 구매</t>
        </is>
      </c>
      <c r="B4" s="34" t="n">
        <v>300</v>
      </c>
      <c r="C4" s="1" t="inlineStr">
        <is>
          <t>매출소득</t>
        </is>
      </c>
      <c r="D4" s="35" t="n">
        <v>800</v>
      </c>
    </row>
    <row r="5">
      <c r="A5" s="36" t="inlineStr">
        <is>
          <t>간식비용</t>
        </is>
      </c>
      <c r="B5" s="34" t="n">
        <v>450</v>
      </c>
      <c r="C5" s="1" t="inlineStr">
        <is>
          <t>세금환급</t>
        </is>
      </c>
      <c r="D5" s="35" t="n">
        <v>50</v>
      </c>
    </row>
    <row r="6" ht="17.25" customHeight="1" s="2" thickBot="1">
      <c r="A6" s="47" t="inlineStr">
        <is>
          <t>총합</t>
        </is>
      </c>
      <c r="B6" s="48">
        <f>SUM(B3:B5)</f>
        <v/>
      </c>
      <c r="C6" s="49" t="inlineStr">
        <is>
          <t>총합</t>
        </is>
      </c>
      <c r="D6" s="50">
        <f>SUM(D3:D5)</f>
        <v/>
      </c>
    </row>
    <row r="7" ht="17.25" customHeight="1" s="2" thickBot="1">
      <c r="A7" s="53" t="inlineStr">
        <is>
          <t>소득 - 지출</t>
        </is>
      </c>
      <c r="B7" s="68" t="n"/>
      <c r="C7" s="69">
        <f>D6-B6</f>
        <v/>
      </c>
      <c r="D7" s="70" t="n"/>
    </row>
  </sheetData>
  <mergeCells count="2">
    <mergeCell ref="C7:D7"/>
    <mergeCell ref="A7:B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13"/>
  <sheetViews>
    <sheetView workbookViewId="0">
      <selection activeCell="E6" sqref="E6"/>
    </sheetView>
  </sheetViews>
  <sheetFormatPr baseColWidth="8" defaultRowHeight="16.5"/>
  <cols>
    <col width="10.75" bestFit="1" customWidth="1" style="2" min="1" max="1"/>
    <col width="11.5" bestFit="1" customWidth="1" style="2" min="2" max="2"/>
    <col width="15" customWidth="1" style="2" min="3" max="3"/>
    <col width="12.375" bestFit="1" customWidth="1" style="2" min="4" max="4"/>
    <col width="14.375" customWidth="1" style="2" min="5" max="5"/>
    <col width="14.625" customWidth="1" style="2" min="6" max="6"/>
  </cols>
  <sheetData>
    <row r="1">
      <c r="A1" s="0" t="inlineStr">
        <is>
          <t>[표1] 모의 주식 거래 현황</t>
        </is>
      </c>
    </row>
    <row r="2" ht="17.25" customHeight="1" s="2" thickBot="1"/>
    <row r="3" ht="17.25" customHeight="1" s="2" thickBot="1">
      <c r="A3" s="31" t="inlineStr">
        <is>
          <t>종목코드</t>
        </is>
      </c>
      <c r="B3" s="32" t="inlineStr">
        <is>
          <t>종목명</t>
        </is>
      </c>
      <c r="C3" s="32" t="inlineStr">
        <is>
          <t>현재가</t>
        </is>
      </c>
      <c r="D3" s="32" t="inlineStr">
        <is>
          <t>등락율</t>
        </is>
      </c>
      <c r="E3" s="32" t="inlineStr">
        <is>
          <t>거래량</t>
        </is>
      </c>
      <c r="F3" s="33" t="inlineStr">
        <is>
          <t>플랫폼</t>
        </is>
      </c>
    </row>
    <row r="4">
      <c r="A4" s="41" t="n">
        <v>14159265</v>
      </c>
      <c r="B4" s="42" t="inlineStr">
        <is>
          <t>GTR전자</t>
        </is>
      </c>
      <c r="C4" s="42" t="n">
        <v>25000</v>
      </c>
      <c r="D4" s="45" t="n">
        <v>3.52</v>
      </c>
      <c r="E4" s="42" t="n">
        <v>2472</v>
      </c>
      <c r="F4" s="43" t="inlineStr">
        <is>
          <t>B</t>
        </is>
      </c>
    </row>
    <row r="5">
      <c r="A5" s="36" t="n">
        <v>35897932</v>
      </c>
      <c r="B5" s="1" t="inlineStr">
        <is>
          <t>계단금융</t>
        </is>
      </c>
      <c r="C5" s="1" t="n">
        <v>18500</v>
      </c>
      <c r="D5" s="1" t="n">
        <v>-2.44</v>
      </c>
      <c r="E5" s="1" t="n">
        <v>3288</v>
      </c>
      <c r="F5" s="37" t="inlineStr">
        <is>
          <t>P</t>
        </is>
      </c>
    </row>
    <row r="6">
      <c r="A6" s="36" t="n">
        <v>38462643</v>
      </c>
      <c r="B6" s="1" t="inlineStr">
        <is>
          <t>Fron중공업</t>
        </is>
      </c>
      <c r="C6" s="1" t="n">
        <v>7400</v>
      </c>
      <c r="D6" s="1" t="n">
        <v>-1.07</v>
      </c>
      <c r="E6" s="1" t="n">
        <v>641</v>
      </c>
      <c r="F6" s="37" t="inlineStr">
        <is>
          <t>B</t>
        </is>
      </c>
    </row>
    <row r="7">
      <c r="A7" s="36" t="n">
        <v>38327950</v>
      </c>
      <c r="B7" s="1" t="inlineStr">
        <is>
          <t>DT항공</t>
        </is>
      </c>
      <c r="C7" s="1" t="n">
        <v>34000</v>
      </c>
      <c r="D7" s="44" t="n">
        <v>6.42</v>
      </c>
      <c r="E7" s="1" t="n">
        <v>4865</v>
      </c>
      <c r="F7" s="37" t="inlineStr">
        <is>
          <t>T</t>
        </is>
      </c>
    </row>
    <row r="8">
      <c r="A8" s="36" t="n">
        <v>28841971</v>
      </c>
      <c r="B8" s="1" t="inlineStr">
        <is>
          <t>BT금융</t>
        </is>
      </c>
      <c r="C8" s="1" t="n">
        <v>28400</v>
      </c>
      <c r="D8" s="44" t="n">
        <v>4.78</v>
      </c>
      <c r="E8" s="1" t="n">
        <v>3988</v>
      </c>
      <c r="F8" s="37" t="inlineStr">
        <is>
          <t>B</t>
        </is>
      </c>
    </row>
    <row r="9">
      <c r="A9" s="36" t="n">
        <v>69399375</v>
      </c>
      <c r="B9" s="1" t="inlineStr">
        <is>
          <t>C4W건설</t>
        </is>
      </c>
      <c r="C9" s="1" t="n">
        <v>9750</v>
      </c>
      <c r="D9" s="1" t="n">
        <v>-2.63</v>
      </c>
      <c r="E9" s="1" t="n">
        <v>1755</v>
      </c>
      <c r="F9" s="37" t="inlineStr">
        <is>
          <t>T</t>
        </is>
      </c>
    </row>
    <row r="10">
      <c r="A10" s="36" t="n">
        <v>10582097</v>
      </c>
      <c r="B10" s="1" t="inlineStr">
        <is>
          <t>신GTR금융</t>
        </is>
      </c>
      <c r="C10" s="1" t="n">
        <v>590</v>
      </c>
      <c r="D10" s="44" t="n">
        <v>-6.81</v>
      </c>
      <c r="E10" s="1" t="n">
        <v>280</v>
      </c>
      <c r="F10" s="37" t="inlineStr">
        <is>
          <t>P</t>
        </is>
      </c>
    </row>
    <row r="11">
      <c r="A11" s="36" t="n">
        <v>49445923</v>
      </c>
      <c r="B11" s="1" t="inlineStr">
        <is>
          <t>S4W전자</t>
        </is>
      </c>
      <c r="C11" s="1" t="n">
        <v>4230</v>
      </c>
      <c r="D11" s="1" t="n">
        <v>-1.67</v>
      </c>
      <c r="E11" s="1" t="n">
        <v>1643</v>
      </c>
      <c r="F11" s="37" t="inlineStr">
        <is>
          <t>B</t>
        </is>
      </c>
    </row>
    <row r="12">
      <c r="A12" s="36" t="n">
        <v>57816406</v>
      </c>
      <c r="B12" s="1" t="inlineStr">
        <is>
          <t>부정금융</t>
        </is>
      </c>
      <c r="C12" s="1" t="n">
        <v>830</v>
      </c>
      <c r="D12" s="1" t="n">
        <v>2.56</v>
      </c>
      <c r="E12" s="1" t="n">
        <v>920</v>
      </c>
      <c r="F12" s="37" t="inlineStr">
        <is>
          <t>P</t>
        </is>
      </c>
    </row>
    <row r="13" ht="17.25" customHeight="1" s="2" thickBot="1">
      <c r="A13" s="38" t="n">
        <v>28620899</v>
      </c>
      <c r="B13" s="39" t="inlineStr">
        <is>
          <t>Sprint전력</t>
        </is>
      </c>
      <c r="C13" s="39" t="n">
        <v>460</v>
      </c>
      <c r="D13" s="39" t="n">
        <v>0.24</v>
      </c>
      <c r="E13" s="39" t="n">
        <v>4517</v>
      </c>
      <c r="F13" s="40" t="inlineStr">
        <is>
          <t>T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D11"/>
  <sheetViews>
    <sheetView workbookViewId="0">
      <selection activeCell="A1" sqref="A1"/>
    </sheetView>
  </sheetViews>
  <sheetFormatPr baseColWidth="8" defaultRowHeight="16.5"/>
  <cols>
    <col width="9" customWidth="1" style="7" min="1" max="16384"/>
  </cols>
  <sheetData>
    <row r="1">
      <c r="A1" s="7" t="inlineStr">
        <is>
          <t>[표1] 국밥집 매출 현황</t>
        </is>
      </c>
    </row>
    <row r="3">
      <c r="A3" s="27" t="inlineStr">
        <is>
          <t>메뉴</t>
        </is>
      </c>
      <c r="B3" s="27" t="inlineStr">
        <is>
          <t>가격</t>
        </is>
      </c>
      <c r="C3" s="27" t="inlineStr">
        <is>
          <t>판매량</t>
        </is>
      </c>
      <c r="D3" s="27" t="inlineStr">
        <is>
          <t>매출액</t>
        </is>
      </c>
    </row>
    <row r="4">
      <c r="A4" s="12" t="inlineStr">
        <is>
          <t>순대국</t>
        </is>
      </c>
      <c r="B4" s="71" t="n">
        <v>6000</v>
      </c>
      <c r="C4" s="71" t="n">
        <v>80</v>
      </c>
      <c r="D4" s="71" t="n">
        <v>480000</v>
      </c>
    </row>
    <row r="5">
      <c r="A5" s="12" t="inlineStr">
        <is>
          <t>특 순대국</t>
        </is>
      </c>
      <c r="B5" s="71" t="n">
        <v>8000</v>
      </c>
      <c r="C5" s="71" t="n">
        <v>65</v>
      </c>
      <c r="D5" s="71" t="n">
        <v>520000</v>
      </c>
    </row>
    <row r="6">
      <c r="A6" s="12" t="inlineStr">
        <is>
          <t>뼈해장국</t>
        </is>
      </c>
      <c r="B6" s="71" t="n">
        <v>7000</v>
      </c>
      <c r="C6" s="71" t="n">
        <v>77</v>
      </c>
      <c r="D6" s="71" t="n">
        <v>539000</v>
      </c>
    </row>
    <row r="7">
      <c r="A7" s="12" t="inlineStr">
        <is>
          <t>특 뼈해장국</t>
        </is>
      </c>
      <c r="B7" s="71" t="n">
        <v>9000</v>
      </c>
      <c r="C7" s="71" t="n">
        <v>46</v>
      </c>
      <c r="D7" s="71" t="n">
        <v>414000</v>
      </c>
    </row>
    <row r="8">
      <c r="A8" s="12" t="inlineStr">
        <is>
          <t>수육</t>
        </is>
      </c>
      <c r="B8" s="71" t="n">
        <v>10000</v>
      </c>
      <c r="C8" s="71" t="n">
        <v>25</v>
      </c>
      <c r="D8" s="71" t="n">
        <v>250000</v>
      </c>
    </row>
    <row r="9">
      <c r="A9" s="12" t="inlineStr">
        <is>
          <t>공기밥</t>
        </is>
      </c>
      <c r="B9" s="71" t="n">
        <v>1000</v>
      </c>
      <c r="C9" s="71" t="n">
        <v>240</v>
      </c>
      <c r="D9" s="71" t="n">
        <v>240000</v>
      </c>
    </row>
    <row r="10">
      <c r="A10" s="12" t="inlineStr">
        <is>
          <t>소주</t>
        </is>
      </c>
      <c r="B10" s="71" t="n">
        <v>3000</v>
      </c>
      <c r="C10" s="71" t="n">
        <v>130</v>
      </c>
      <c r="D10" s="71" t="n">
        <v>390000</v>
      </c>
    </row>
    <row r="11">
      <c r="A11" s="72" t="inlineStr">
        <is>
          <t>총합</t>
        </is>
      </c>
      <c r="B11" s="73" t="n"/>
      <c r="C11" s="74" t="n"/>
      <c r="D11" s="74" t="n"/>
    </row>
  </sheetData>
  <mergeCells count="1">
    <mergeCell ref="A11:B1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7">
    <outlinePr summaryBelow="1" summaryRight="1"/>
    <pageSetUpPr/>
  </sheetPr>
  <dimension ref="A1:G8"/>
  <sheetViews>
    <sheetView workbookViewId="0">
      <selection activeCell="A1" sqref="A1"/>
    </sheetView>
  </sheetViews>
  <sheetFormatPr baseColWidth="8" defaultRowHeight="16.5"/>
  <cols>
    <col width="9" customWidth="1" style="7" min="1" max="16384"/>
  </cols>
  <sheetData>
    <row r="1">
      <c r="A1" s="7" t="inlineStr">
        <is>
          <t>학생별 IQ 지수 측정</t>
        </is>
      </c>
    </row>
    <row r="2" ht="17.25" customHeight="1" s="2" thickBot="1"/>
    <row r="3">
      <c r="A3" s="8" t="inlineStr">
        <is>
          <t>이름</t>
        </is>
      </c>
      <c r="B3" s="9" t="inlineStr">
        <is>
          <t>검사번호</t>
        </is>
      </c>
      <c r="C3" s="9" t="inlineStr">
        <is>
          <t>언어 이해</t>
        </is>
      </c>
      <c r="D3" s="9" t="inlineStr">
        <is>
          <t>작업 기억</t>
        </is>
      </c>
      <c r="E3" s="9" t="inlineStr">
        <is>
          <t>지각 추론</t>
        </is>
      </c>
      <c r="F3" s="9" t="inlineStr">
        <is>
          <t>처리 속도</t>
        </is>
      </c>
      <c r="G3" s="10" t="inlineStr">
        <is>
          <t>평균지능</t>
        </is>
      </c>
    </row>
    <row r="4">
      <c r="A4" s="11" t="inlineStr">
        <is>
          <t>김멸치</t>
        </is>
      </c>
      <c r="B4" s="12" t="n">
        <v>1</v>
      </c>
      <c r="C4" s="12" t="n">
        <v>95</v>
      </c>
      <c r="D4" s="12" t="n">
        <v>100</v>
      </c>
      <c r="E4" s="12" t="n">
        <v>98</v>
      </c>
      <c r="F4" s="12" t="n">
        <v>120</v>
      </c>
      <c r="G4" s="13" t="n">
        <v>103</v>
      </c>
    </row>
    <row r="5">
      <c r="A5" s="11" t="inlineStr">
        <is>
          <t>최참치</t>
        </is>
      </c>
      <c r="B5" s="12" t="n">
        <v>2</v>
      </c>
      <c r="C5" s="12" t="n">
        <v>104</v>
      </c>
      <c r="D5" s="12" t="n">
        <v>115</v>
      </c>
      <c r="E5" s="12" t="n">
        <v>105</v>
      </c>
      <c r="F5" s="12" t="n">
        <v>100</v>
      </c>
      <c r="G5" s="13" t="n">
        <v>106</v>
      </c>
    </row>
    <row r="6">
      <c r="A6" s="11" t="inlineStr">
        <is>
          <t>박농어</t>
        </is>
      </c>
      <c r="B6" s="12" t="n">
        <v>3</v>
      </c>
      <c r="C6" s="12" t="n">
        <v>120</v>
      </c>
      <c r="D6" s="12" t="n">
        <v>130</v>
      </c>
      <c r="E6" s="12" t="n">
        <v>134</v>
      </c>
      <c r="F6" s="12" t="n">
        <v>127</v>
      </c>
      <c r="G6" s="13" t="n">
        <v>127</v>
      </c>
    </row>
    <row r="7">
      <c r="A7" s="11" t="inlineStr">
        <is>
          <t>남궁연어</t>
        </is>
      </c>
      <c r="B7" s="12" t="n">
        <v>4</v>
      </c>
      <c r="C7" s="12" t="n">
        <v>115</v>
      </c>
      <c r="D7" s="12" t="n">
        <v>105</v>
      </c>
      <c r="E7" s="12" t="n">
        <v>110</v>
      </c>
      <c r="F7" s="12" t="n">
        <v>98</v>
      </c>
      <c r="G7" s="13" t="n">
        <v>107</v>
      </c>
    </row>
    <row r="8" ht="17.25" customHeight="1" s="2" thickBot="1">
      <c r="A8" s="14" t="inlineStr">
        <is>
          <t>권장어</t>
        </is>
      </c>
      <c r="B8" s="15" t="n">
        <v>5</v>
      </c>
      <c r="C8" s="15" t="n">
        <v>100</v>
      </c>
      <c r="D8" s="15" t="n">
        <v>103</v>
      </c>
      <c r="E8" s="15" t="n">
        <v>115</v>
      </c>
      <c r="F8" s="15" t="n">
        <v>100</v>
      </c>
      <c r="G8" s="16" t="n">
        <v>104</v>
      </c>
    </row>
  </sheetData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jiwoo</dc:creator>
  <dcterms:created xmlns:dcterms="http://purl.org/dc/terms/" xmlns:xsi="http://www.w3.org/2001/XMLSchema-instance" xsi:type="dcterms:W3CDTF">2021-02-23T04:31:45Z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