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jiwoo/Desktop/app3/"/>
    </mc:Choice>
  </mc:AlternateContent>
  <xr:revisionPtr revIDLastSave="0" documentId="13_ncr:1_{BC8943DF-52B5-954A-963B-EA937DDA8A8D}" xr6:coauthVersionLast="47" xr6:coauthVersionMax="47" xr10:uidLastSave="{00000000-0000-0000-0000-000000000000}"/>
  <bookViews>
    <workbookView xWindow="11620" yWindow="2760" windowWidth="22580" windowHeight="14520" tabRatio="922" activeTab="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4" l="1"/>
  <c r="C9" i="5"/>
  <c r="B9" i="5"/>
  <c r="C8" i="5"/>
  <c r="C7" i="5"/>
  <c r="C6" i="5"/>
  <c r="C5" i="5"/>
  <c r="C4" i="5"/>
  <c r="I12" i="4"/>
  <c r="G10" i="2"/>
  <c r="G9" i="2"/>
  <c r="G8" i="2"/>
  <c r="G7" i="2"/>
  <c r="G6" i="2"/>
  <c r="G5" i="2"/>
  <c r="G4" i="2"/>
</calcChain>
</file>

<file path=xl/sharedStrings.xml><?xml version="1.0" encoding="utf-8"?>
<sst xmlns="http://schemas.openxmlformats.org/spreadsheetml/2006/main" count="303" uniqueCount="213">
  <si>
    <t>해외 가구 수입품목</t>
  </si>
  <si>
    <t>자동차 판매 현황</t>
  </si>
  <si>
    <t>사원코드</t>
  </si>
  <si>
    <t>부서</t>
  </si>
  <si>
    <t>입사일자</t>
  </si>
  <si>
    <t>직위</t>
  </si>
  <si>
    <t>담당부서</t>
  </si>
  <si>
    <t>매출액</t>
  </si>
  <si>
    <t>순위</t>
  </si>
  <si>
    <t>비고</t>
  </si>
  <si>
    <t>D-051</t>
  </si>
  <si>
    <t>영업1부</t>
  </si>
  <si>
    <t>사원</t>
  </si>
  <si>
    <t>아우디</t>
  </si>
  <si>
    <t>-</t>
  </si>
  <si>
    <t>C-055</t>
  </si>
  <si>
    <t>영업2부</t>
  </si>
  <si>
    <t>대리</t>
  </si>
  <si>
    <t>BMW</t>
  </si>
  <si>
    <t>Q-242</t>
  </si>
  <si>
    <t>기아</t>
  </si>
  <si>
    <t>C-051</t>
  </si>
  <si>
    <t>영업3부</t>
  </si>
  <si>
    <t>과장</t>
  </si>
  <si>
    <t>현대</t>
  </si>
  <si>
    <t>D-055</t>
  </si>
  <si>
    <t>부장</t>
  </si>
  <si>
    <t>벤츠</t>
  </si>
  <si>
    <t>Q-244</t>
  </si>
  <si>
    <t>C-044</t>
  </si>
  <si>
    <t>애플 워치 판매 현황</t>
  </si>
  <si>
    <t>품목</t>
  </si>
  <si>
    <t>판매국</t>
  </si>
  <si>
    <t>수량(단위 : 1만)</t>
  </si>
  <si>
    <t>단가</t>
  </si>
  <si>
    <t>디스플레이</t>
  </si>
  <si>
    <t>색상</t>
  </si>
  <si>
    <t>애플워치6 나이키</t>
  </si>
  <si>
    <t>한국</t>
  </si>
  <si>
    <t>44mm</t>
  </si>
  <si>
    <t>오렌지</t>
  </si>
  <si>
    <t>애플워치6 에르메스</t>
  </si>
  <si>
    <t>미국</t>
  </si>
  <si>
    <t>40mm</t>
  </si>
  <si>
    <t>블루</t>
  </si>
  <si>
    <t>애플워치SE</t>
  </si>
  <si>
    <t>태국</t>
  </si>
  <si>
    <t>화이트</t>
  </si>
  <si>
    <t>스페이스그레이</t>
  </si>
  <si>
    <t>일본</t>
  </si>
  <si>
    <t>필리핀</t>
  </si>
  <si>
    <t>유럽</t>
  </si>
  <si>
    <t>러시아</t>
  </si>
  <si>
    <t>[표1]</t>
  </si>
  <si>
    <t>[표2]</t>
  </si>
  <si>
    <t>과일명</t>
  </si>
  <si>
    <t>가격</t>
  </si>
  <si>
    <t>생산지</t>
  </si>
  <si>
    <t>판매자</t>
  </si>
  <si>
    <t>이름</t>
  </si>
  <si>
    <t>급수</t>
  </si>
  <si>
    <t>월급</t>
  </si>
  <si>
    <t>연봉</t>
  </si>
  <si>
    <t>포도</t>
  </si>
  <si>
    <t>수입</t>
  </si>
  <si>
    <t>이**</t>
  </si>
  <si>
    <t>김진수</t>
  </si>
  <si>
    <t>5급</t>
  </si>
  <si>
    <t>사과</t>
  </si>
  <si>
    <t>국내</t>
  </si>
  <si>
    <t>김**</t>
  </si>
  <si>
    <t>이현아</t>
  </si>
  <si>
    <t>4급</t>
  </si>
  <si>
    <t>우지원</t>
  </si>
  <si>
    <t>6급</t>
  </si>
  <si>
    <t>이은정</t>
  </si>
  <si>
    <t>9급</t>
  </si>
  <si>
    <t>민**</t>
  </si>
  <si>
    <t>최혜인</t>
  </si>
  <si>
    <t>3급</t>
  </si>
  <si>
    <t>딸기</t>
  </si>
  <si>
    <t>박현주</t>
  </si>
  <si>
    <t>박**</t>
  </si>
  <si>
    <t>국내 가격 평균</t>
  </si>
  <si>
    <t>월급이 3,000,000원 보다 크면서, 
평균연봉이상인 인원수</t>
  </si>
  <si>
    <t>[표3]</t>
  </si>
  <si>
    <t>[표4]</t>
  </si>
  <si>
    <t>사번</t>
  </si>
  <si>
    <t>성별</t>
  </si>
  <si>
    <t>코드</t>
  </si>
  <si>
    <t>지역</t>
  </si>
  <si>
    <t>김지수</t>
  </si>
  <si>
    <t>여</t>
  </si>
  <si>
    <t>Z12935</t>
  </si>
  <si>
    <t>경북</t>
  </si>
  <si>
    <t>이아름</t>
  </si>
  <si>
    <t>Z59121</t>
  </si>
  <si>
    <t>울산</t>
  </si>
  <si>
    <t>오영희</t>
  </si>
  <si>
    <t>Y12315</t>
  </si>
  <si>
    <t>대구</t>
  </si>
  <si>
    <t>이진아</t>
  </si>
  <si>
    <t>Y12314</t>
  </si>
  <si>
    <t>전남</t>
  </si>
  <si>
    <t>김현미</t>
  </si>
  <si>
    <t>Z92919</t>
  </si>
  <si>
    <t>충북</t>
  </si>
  <si>
    <t>오지훈</t>
  </si>
  <si>
    <t>남</t>
  </si>
  <si>
    <t>O29183</t>
  </si>
  <si>
    <t>부산</t>
  </si>
  <si>
    <t>이혁수</t>
  </si>
  <si>
    <t>A23415</t>
  </si>
  <si>
    <t>서울</t>
  </si>
  <si>
    <t>[표5]</t>
  </si>
  <si>
    <t>분류번호</t>
  </si>
  <si>
    <t>주소</t>
  </si>
  <si>
    <t>A-130</t>
  </si>
  <si>
    <t>김은지</t>
  </si>
  <si>
    <t>서울시 강남구</t>
  </si>
  <si>
    <t>B-220</t>
  </si>
  <si>
    <t>김주리</t>
  </si>
  <si>
    <t>부산시 동래구</t>
  </si>
  <si>
    <t>C-331</t>
  </si>
  <si>
    <t>박혜미</t>
  </si>
  <si>
    <t>인천시 미추홀구</t>
  </si>
  <si>
    <t>A-133</t>
  </si>
  <si>
    <t>송하영</t>
  </si>
  <si>
    <t>서울시 중구</t>
  </si>
  <si>
    <t>F-220</t>
  </si>
  <si>
    <t>최민규</t>
  </si>
  <si>
    <t>부산시 사상구</t>
  </si>
  <si>
    <t>C-324</t>
  </si>
  <si>
    <t>김동규</t>
  </si>
  <si>
    <t>인천시 부평구</t>
  </si>
  <si>
    <t>코드번호</t>
  </si>
  <si>
    <t>A</t>
  </si>
  <si>
    <t>B</t>
  </si>
  <si>
    <t>C</t>
  </si>
  <si>
    <t>지역명</t>
  </si>
  <si>
    <t xml:space="preserve">인천 </t>
  </si>
  <si>
    <t>[표1] 건강증진 사업 예산 집행현황</t>
  </si>
  <si>
    <t>비목</t>
  </si>
  <si>
    <t>예산</t>
  </si>
  <si>
    <t>집행액</t>
  </si>
  <si>
    <t>집행률</t>
  </si>
  <si>
    <t>인건비</t>
  </si>
  <si>
    <t>운영비</t>
  </si>
  <si>
    <t>여비</t>
  </si>
  <si>
    <t>용역비</t>
  </si>
  <si>
    <t>사업추진비</t>
  </si>
  <si>
    <t>합계</t>
  </si>
  <si>
    <t>[표1] 축구 동호회 회원명부</t>
  </si>
  <si>
    <t>가입연도</t>
  </si>
  <si>
    <t>나이</t>
  </si>
  <si>
    <t>거주지역</t>
  </si>
  <si>
    <t>참여도</t>
  </si>
  <si>
    <t>강남구</t>
  </si>
  <si>
    <t>A급</t>
  </si>
  <si>
    <t>김혁수</t>
  </si>
  <si>
    <t>마포구</t>
  </si>
  <si>
    <t>C급</t>
  </si>
  <si>
    <t>김희준</t>
  </si>
  <si>
    <t>박기수</t>
  </si>
  <si>
    <t>박성천</t>
  </si>
  <si>
    <t>중구</t>
  </si>
  <si>
    <t>회장</t>
  </si>
  <si>
    <t>박은규</t>
  </si>
  <si>
    <t>용산구</t>
  </si>
  <si>
    <t>B급</t>
  </si>
  <si>
    <t>백은석</t>
  </si>
  <si>
    <t>송파구</t>
  </si>
  <si>
    <t>이병훈</t>
  </si>
  <si>
    <t>강동구</t>
  </si>
  <si>
    <t>총무</t>
  </si>
  <si>
    <t>이상혁</t>
  </si>
  <si>
    <t>이익준</t>
  </si>
  <si>
    <t>이진용</t>
  </si>
  <si>
    <t>은평구</t>
  </si>
  <si>
    <t>최은우</t>
  </si>
  <si>
    <t xml:space="preserve">[표1] 직원 교육 이수 시간 </t>
  </si>
  <si>
    <t xml:space="preserve">이름 </t>
  </si>
  <si>
    <t>1분기</t>
  </si>
  <si>
    <t>2분기</t>
  </si>
  <si>
    <t>3분기</t>
  </si>
  <si>
    <t>4분기</t>
  </si>
  <si>
    <t>김지연</t>
  </si>
  <si>
    <t>최진혁</t>
  </si>
  <si>
    <t>이은주</t>
  </si>
  <si>
    <t>박기현</t>
  </si>
  <si>
    <t>홍연수</t>
  </si>
  <si>
    <t>임기영</t>
  </si>
  <si>
    <t>사원별 매출과 수익</t>
  </si>
  <si>
    <t>사원번호</t>
  </si>
  <si>
    <t>사원명</t>
  </si>
  <si>
    <t>입사연월일</t>
  </si>
  <si>
    <t>매출</t>
  </si>
  <si>
    <t>비용</t>
  </si>
  <si>
    <t>순수익</t>
  </si>
  <si>
    <t>K15232</t>
  </si>
  <si>
    <t>김진영</t>
  </si>
  <si>
    <t>K15233</t>
  </si>
  <si>
    <t>이재혁</t>
  </si>
  <si>
    <t>K15234</t>
  </si>
  <si>
    <t>임지영</t>
  </si>
  <si>
    <t>K15235</t>
  </si>
  <si>
    <t>김영수</t>
  </si>
  <si>
    <t>K15236</t>
  </si>
  <si>
    <t>이은혁</t>
  </si>
  <si>
    <t>K15237</t>
  </si>
  <si>
    <t>최인희</t>
  </si>
  <si>
    <t>생산지</t>
    <phoneticPr fontId="1" type="noConversion"/>
  </si>
  <si>
    <t>국내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</si>
</sst>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-&quot;₩&quot;* #,##0_-;\-&quot;₩&quot;* #,##0_-;_-&quot;₩&quot;* &quot;-&quot;_-;_-@_-"/>
    <numFmt numFmtId="177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177" fontId="3" fillId="0" borderId="0">
      <alignment vertical="center"/>
    </xf>
    <xf numFmtId="176" fontId="3" fillId="0" borderId="0">
      <alignment vertical="center"/>
    </xf>
    <xf numFmtId="0" fontId="3" fillId="4" borderId="0">
      <alignment vertical="center"/>
    </xf>
    <xf numFmtId="0" fontId="3" fillId="5" borderId="0">
      <alignment vertical="center"/>
    </xf>
  </cellStyleXfs>
  <cellXfs count="46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>
      <alignment vertical="center"/>
    </xf>
    <xf numFmtId="176" fontId="0" fillId="0" borderId="1" xfId="2" applyFon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176" fontId="4" fillId="0" borderId="1" xfId="2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7" fontId="0" fillId="0" borderId="1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1" xfId="0" applyNumberForma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6" fillId="4" borderId="1" xfId="3" applyFont="1" applyBorder="1" applyAlignment="1">
      <alignment horizontal="center" vertical="center"/>
    </xf>
    <xf numFmtId="0" fontId="6" fillId="5" borderId="1" xfId="4" applyFont="1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3" fillId="5" borderId="1" xfId="4" applyBorder="1" applyAlignment="1">
      <alignment horizontal="center" vertical="center"/>
    </xf>
    <xf numFmtId="176" fontId="0" fillId="0" borderId="0" xfId="2" applyFont="1">
      <alignment vertical="center"/>
    </xf>
    <xf numFmtId="0" fontId="0" fillId="0" borderId="0" xfId="0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3" borderId="1" xfId="0" applyFill="1" applyBorder="1" applyAlignment="1">
      <alignment horizontal="center" vertical="center" wrapText="1"/>
    </xf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9" xfId="0" applyBorder="1" applyAlignment="1"/>
    <xf numFmtId="0" fontId="0" fillId="0" borderId="13" xfId="0" applyBorder="1" applyAlignment="1"/>
    <xf numFmtId="0" fontId="0" fillId="0" borderId="1" xfId="0" applyBorder="1" applyAlignment="1">
      <alignment horizontal="center" vertical="center"/>
    </xf>
    <xf numFmtId="0" fontId="0" fillId="0" borderId="14" xfId="0" applyBorder="1" applyAlignment="1"/>
  </cellXfs>
  <cellStyles count="5">
    <cellStyle name="20% - 강조색5" xfId="4" builtinId="46"/>
    <cellStyle name="40% - 강조색3" xfId="3" builtinId="39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매출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차트작업!$B$4:$B$9</c:f>
              <c:strCache>
                <c:ptCount val="6"/>
                <c:pt idx="0">
                  <c:v>김진영</c:v>
                </c:pt>
                <c:pt idx="1">
                  <c:v>이재혁</c:v>
                </c:pt>
                <c:pt idx="2">
                  <c:v>임지영</c:v>
                </c:pt>
                <c:pt idx="3">
                  <c:v>김영수</c:v>
                </c:pt>
                <c:pt idx="4">
                  <c:v>이은혁</c:v>
                </c:pt>
                <c:pt idx="5">
                  <c:v>최인희</c:v>
                </c:pt>
              </c:strCache>
            </c:strRef>
          </c:cat>
          <c:val>
            <c:numRef>
              <c:f>차트작업!$D$4:$D$9</c:f>
              <c:numCache>
                <c:formatCode>_-* #,##0_-;\-* #,##0_-;_-* "-"_-;_-@_-</c:formatCode>
                <c:ptCount val="6"/>
                <c:pt idx="0">
                  <c:v>25000000</c:v>
                </c:pt>
                <c:pt idx="1">
                  <c:v>23150000</c:v>
                </c:pt>
                <c:pt idx="2">
                  <c:v>38700000</c:v>
                </c:pt>
                <c:pt idx="3">
                  <c:v>43150000</c:v>
                </c:pt>
                <c:pt idx="4">
                  <c:v>37000000</c:v>
                </c:pt>
                <c:pt idx="5">
                  <c:v>31800000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C-5746-BD12-A54EFA214F42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비용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차트작업!$B$4:$B$9</c:f>
              <c:strCache>
                <c:ptCount val="6"/>
                <c:pt idx="0">
                  <c:v>김진영</c:v>
                </c:pt>
                <c:pt idx="1">
                  <c:v>이재혁</c:v>
                </c:pt>
                <c:pt idx="2">
                  <c:v>임지영</c:v>
                </c:pt>
                <c:pt idx="3">
                  <c:v>김영수</c:v>
                </c:pt>
                <c:pt idx="4">
                  <c:v>이은혁</c:v>
                </c:pt>
                <c:pt idx="5">
                  <c:v>최인희</c:v>
                </c:pt>
              </c:strCache>
            </c:strRef>
          </c:cat>
          <c:val>
            <c:numRef>
              <c:f>차트작업!$E$4:$E$9</c:f>
              <c:numCache>
                <c:formatCode>_-* #,##0_-;\-* #,##0_-;_-* "-"_-;_-@_-</c:formatCode>
                <c:ptCount val="6"/>
                <c:pt idx="0">
                  <c:v>22500000</c:v>
                </c:pt>
                <c:pt idx="1">
                  <c:v>20835000</c:v>
                </c:pt>
                <c:pt idx="2">
                  <c:v>34830000</c:v>
                </c:pt>
                <c:pt idx="3">
                  <c:v>38835000</c:v>
                </c:pt>
                <c:pt idx="4">
                  <c:v>33300000</c:v>
                </c:pt>
                <c:pt idx="5">
                  <c:v>28620000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1C-5746-BD12-A54EFA214F42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순수익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strRef>
              <c:f>차트작업!$B$4:$B$9</c:f>
              <c:strCache>
                <c:ptCount val="6"/>
                <c:pt idx="0">
                  <c:v>김진영</c:v>
                </c:pt>
                <c:pt idx="1">
                  <c:v>이재혁</c:v>
                </c:pt>
                <c:pt idx="2">
                  <c:v>임지영</c:v>
                </c:pt>
                <c:pt idx="3">
                  <c:v>김영수</c:v>
                </c:pt>
                <c:pt idx="4">
                  <c:v>이은혁</c:v>
                </c:pt>
                <c:pt idx="5">
                  <c:v>최인희</c:v>
                </c:pt>
              </c:strCache>
            </c:strRef>
          </c:cat>
          <c:val>
            <c:numRef>
              <c:f>차트작업!$F$4:$F$9</c:f>
              <c:numCache>
                <c:formatCode>_-* #,##0_-;\-* #,##0_-;_-* "-"_-;_-@_-</c:formatCode>
                <c:ptCount val="6"/>
                <c:pt idx="0">
                  <c:v>2500000</c:v>
                </c:pt>
                <c:pt idx="1">
                  <c:v>2315000</c:v>
                </c:pt>
                <c:pt idx="2">
                  <c:v>3870000</c:v>
                </c:pt>
                <c:pt idx="3">
                  <c:v>4315000</c:v>
                </c:pt>
                <c:pt idx="4">
                  <c:v>3700000</c:v>
                </c:pt>
                <c:pt idx="5">
                  <c:v>3180000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1C-5746-BD12-A54EFA214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1406752"/>
        <c:axId val="1731408416"/>
      </c:barChart>
      <c:catAx>
        <c:axId val="173140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408416"/>
        <c:crosses val="autoZero"/>
        <c:auto val="1"/>
        <c:lblAlgn val="ctr"/>
        <c:lblOffset val="100"/>
        <c:noMultiLvlLbl val="0"/>
      </c:catAx>
      <c:valAx>
        <c:axId val="173140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4067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42333</xdr:colOff>
      <xdr:row>11</xdr:row>
      <xdr:rowOff>136525</xdr:rowOff>
    </xdr:from>
    <xdr:to>
      <xdr:col>6</xdr:col>
      <xdr:colOff>547687</xdr:colOff>
      <xdr:row>24</xdr:row>
      <xdr:rowOff>128058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zoomScale="235" zoomScaleNormal="235" workbookViewId="0">
      <selection activeCell="C9" sqref="C9"/>
    </sheetView>
  </sheetViews>
  <sheetFormatPr baseColWidth="10" defaultColWidth="9" defaultRowHeight="17"/>
  <cols>
    <col min="1" max="2" width="9" style="3" customWidth="1"/>
    <col min="3" max="3" width="17.6640625" style="3" customWidth="1"/>
    <col min="4" max="4" width="12.5" style="3" customWidth="1"/>
    <col min="5" max="5" width="15.5" style="3" customWidth="1"/>
    <col min="6" max="6" width="13.1640625" style="3" customWidth="1"/>
    <col min="7" max="7" width="9.1640625" style="3" bestFit="1" customWidth="1"/>
    <col min="8" max="8" width="9" style="3" customWidth="1"/>
    <col min="9" max="16384" width="9" style="3"/>
  </cols>
  <sheetData>
    <row r="1" spans="1:7">
      <c r="A1" s="1" t="s">
        <v>0</v>
      </c>
      <c r="B1" s="2"/>
      <c r="C1" s="2"/>
      <c r="D1" s="2"/>
      <c r="E1" s="2"/>
      <c r="F1" s="2"/>
      <c r="G1" s="2"/>
    </row>
    <row r="2" spans="1:7">
      <c r="A2" s="2"/>
      <c r="B2" s="2"/>
      <c r="C2" s="2"/>
      <c r="D2" s="2"/>
      <c r="E2" s="2"/>
      <c r="F2" s="2"/>
      <c r="G2" s="2"/>
    </row>
    <row r="3" spans="1:7">
      <c r="A3" s="2"/>
      <c r="B3" s="2"/>
      <c r="C3" s="2"/>
      <c r="D3" s="2"/>
      <c r="E3" s="2"/>
      <c r="F3" s="2"/>
      <c r="G3" s="2"/>
    </row>
    <row r="4" spans="1:7">
      <c r="A4"/>
      <c r="B4" s="4"/>
      <c r="C4"/>
      <c r="D4" s="5"/>
      <c r="E4" s="4"/>
      <c r="F4" s="6"/>
      <c r="G4" s="6"/>
    </row>
    <row r="5" spans="1:7">
      <c r="A5"/>
      <c r="B5" s="4"/>
      <c r="D5" s="5"/>
      <c r="E5" s="4"/>
      <c r="F5" s="6"/>
      <c r="G5" s="6"/>
    </row>
    <row r="6" spans="1:7">
      <c r="A6"/>
      <c r="B6" s="2"/>
      <c r="C6" s="2"/>
      <c r="D6" s="5"/>
      <c r="E6" s="2"/>
      <c r="F6" s="6"/>
      <c r="G6" s="6"/>
    </row>
    <row r="7" spans="1:7">
      <c r="A7"/>
      <c r="B7" s="2"/>
      <c r="C7"/>
      <c r="D7" s="5"/>
      <c r="E7" s="2"/>
      <c r="F7" s="6"/>
      <c r="G7" s="6"/>
    </row>
    <row r="8" spans="1:7">
      <c r="A8"/>
      <c r="B8" s="2"/>
      <c r="C8"/>
      <c r="D8" s="5"/>
      <c r="E8" s="2"/>
      <c r="F8" s="6"/>
      <c r="G8" s="6"/>
    </row>
    <row r="9" spans="1:7">
      <c r="A9"/>
      <c r="B9" s="2"/>
      <c r="C9"/>
      <c r="D9" s="5"/>
      <c r="E9" s="2"/>
      <c r="F9" s="6"/>
      <c r="G9" s="6"/>
    </row>
    <row r="10" spans="1:7">
      <c r="A10"/>
      <c r="B10"/>
      <c r="C10"/>
      <c r="D10"/>
      <c r="E10"/>
      <c r="F10"/>
      <c r="G10"/>
    </row>
    <row r="11" spans="1:7">
      <c r="A11"/>
      <c r="B11"/>
      <c r="C11"/>
      <c r="D11"/>
      <c r="E11"/>
      <c r="F11"/>
      <c r="G11"/>
    </row>
  </sheetData>
  <phoneticPr fontId="1" type="noConversion"/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J10"/>
  <sheetViews>
    <sheetView zoomScale="190" zoomScaleNormal="190" workbookViewId="0">
      <selection activeCell="D13" sqref="D13"/>
    </sheetView>
  </sheetViews>
  <sheetFormatPr baseColWidth="10" defaultColWidth="8.83203125" defaultRowHeight="17"/>
  <cols>
    <col min="3" max="3" width="11.1640625" style="37" bestFit="1" customWidth="1"/>
    <col min="6" max="6" width="16.6640625" style="37" customWidth="1"/>
    <col min="7" max="7" width="9.6640625" style="37" customWidth="1"/>
  </cols>
  <sheetData>
    <row r="2" spans="1:10">
      <c r="A2" t="s">
        <v>1</v>
      </c>
      <c r="J2" s="3"/>
    </row>
    <row r="3" spans="1:10">
      <c r="A3" s="35" t="s">
        <v>2</v>
      </c>
      <c r="B3" s="35" t="s">
        <v>3</v>
      </c>
      <c r="C3" s="35" t="s">
        <v>4</v>
      </c>
      <c r="D3" s="35" t="s">
        <v>5</v>
      </c>
      <c r="E3" s="35" t="s">
        <v>6</v>
      </c>
      <c r="F3" s="35" t="s">
        <v>7</v>
      </c>
      <c r="G3" s="35" t="s">
        <v>8</v>
      </c>
      <c r="H3" s="35" t="s">
        <v>9</v>
      </c>
    </row>
    <row r="4" spans="1:10">
      <c r="A4" s="34" t="s">
        <v>10</v>
      </c>
      <c r="B4" s="34" t="s">
        <v>11</v>
      </c>
      <c r="C4" s="5">
        <v>44228</v>
      </c>
      <c r="D4" s="34" t="s">
        <v>12</v>
      </c>
      <c r="E4" s="34" t="s">
        <v>13</v>
      </c>
      <c r="F4" s="33">
        <v>380000000</v>
      </c>
      <c r="G4" s="34" t="str">
        <f t="shared" ref="G4:G10" si="0">_xlfn.RANK.EQ(F4,$F$4:$F$10) &amp; "등"</f>
        <v>7등</v>
      </c>
      <c r="H4" s="34" t="s">
        <v>14</v>
      </c>
    </row>
    <row r="5" spans="1:10">
      <c r="A5" s="34" t="s">
        <v>15</v>
      </c>
      <c r="B5" s="34" t="s">
        <v>16</v>
      </c>
      <c r="C5" s="5">
        <v>44045</v>
      </c>
      <c r="D5" s="34" t="s">
        <v>17</v>
      </c>
      <c r="E5" s="34" t="s">
        <v>18</v>
      </c>
      <c r="F5" s="33">
        <v>487000000</v>
      </c>
      <c r="G5" s="34" t="str">
        <f t="shared" si="0"/>
        <v>6등</v>
      </c>
      <c r="H5" s="34" t="s">
        <v>14</v>
      </c>
    </row>
    <row r="6" spans="1:10">
      <c r="A6" s="34" t="s">
        <v>19</v>
      </c>
      <c r="B6" s="34" t="s">
        <v>11</v>
      </c>
      <c r="C6" s="5">
        <v>44200</v>
      </c>
      <c r="D6" s="34" t="s">
        <v>12</v>
      </c>
      <c r="E6" s="34" t="s">
        <v>20</v>
      </c>
      <c r="F6" s="33">
        <v>782000000</v>
      </c>
      <c r="G6" s="34" t="str">
        <f t="shared" si="0"/>
        <v>4등</v>
      </c>
      <c r="H6" s="34" t="s">
        <v>14</v>
      </c>
    </row>
    <row r="7" spans="1:10">
      <c r="A7" s="34" t="s">
        <v>21</v>
      </c>
      <c r="B7" s="34" t="s">
        <v>22</v>
      </c>
      <c r="C7" s="5">
        <v>43680</v>
      </c>
      <c r="D7" s="34" t="s">
        <v>23</v>
      </c>
      <c r="E7" s="34" t="s">
        <v>24</v>
      </c>
      <c r="F7" s="33">
        <v>875000000</v>
      </c>
      <c r="G7" s="34" t="str">
        <f t="shared" si="0"/>
        <v>3등</v>
      </c>
      <c r="H7" s="34" t="s">
        <v>14</v>
      </c>
    </row>
    <row r="8" spans="1:10">
      <c r="A8" s="34" t="s">
        <v>25</v>
      </c>
      <c r="B8" s="34" t="s">
        <v>22</v>
      </c>
      <c r="C8" s="5">
        <v>42924</v>
      </c>
      <c r="D8" s="34" t="s">
        <v>26</v>
      </c>
      <c r="E8" s="34" t="s">
        <v>27</v>
      </c>
      <c r="F8" s="33">
        <v>982000000</v>
      </c>
      <c r="G8" s="34" t="str">
        <f t="shared" si="0"/>
        <v>1등</v>
      </c>
      <c r="H8" s="34" t="s">
        <v>14</v>
      </c>
    </row>
    <row r="9" spans="1:10">
      <c r="A9" s="34" t="s">
        <v>28</v>
      </c>
      <c r="B9" s="34" t="s">
        <v>16</v>
      </c>
      <c r="C9" s="5">
        <v>44257</v>
      </c>
      <c r="D9" s="34" t="s">
        <v>12</v>
      </c>
      <c r="E9" s="34" t="s">
        <v>27</v>
      </c>
      <c r="F9" s="33">
        <v>932000000</v>
      </c>
      <c r="G9" s="34" t="str">
        <f t="shared" si="0"/>
        <v>2등</v>
      </c>
      <c r="H9" s="34" t="s">
        <v>14</v>
      </c>
    </row>
    <row r="10" spans="1:10">
      <c r="A10" s="34" t="s">
        <v>29</v>
      </c>
      <c r="B10" s="34" t="s">
        <v>11</v>
      </c>
      <c r="C10" s="5">
        <v>43864</v>
      </c>
      <c r="D10" s="34" t="s">
        <v>17</v>
      </c>
      <c r="E10" s="34" t="s">
        <v>18</v>
      </c>
      <c r="F10" s="33">
        <v>578000000</v>
      </c>
      <c r="G10" s="34" t="str">
        <f t="shared" si="0"/>
        <v>5등</v>
      </c>
      <c r="H10" s="34" t="s">
        <v>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15"/>
  <sheetViews>
    <sheetView zoomScale="190" zoomScaleNormal="190" workbookViewId="0">
      <selection activeCell="E18" sqref="E18"/>
    </sheetView>
  </sheetViews>
  <sheetFormatPr baseColWidth="10" defaultColWidth="8.83203125" defaultRowHeight="17"/>
  <cols>
    <col min="1" max="1" width="18.6640625" style="37" customWidth="1"/>
    <col min="3" max="3" width="15" style="37" customWidth="1"/>
    <col min="4" max="4" width="12.33203125" style="37" bestFit="1" customWidth="1"/>
    <col min="5" max="5" width="14.33203125" style="37" customWidth="1"/>
    <col min="6" max="6" width="14.6640625" style="37" customWidth="1"/>
  </cols>
  <sheetData>
    <row r="1" spans="1:6">
      <c r="A1" t="s">
        <v>30</v>
      </c>
    </row>
    <row r="2" spans="1:6">
      <c r="A2" s="13" t="s">
        <v>31</v>
      </c>
      <c r="B2" s="13" t="s">
        <v>32</v>
      </c>
      <c r="C2" s="7" t="s">
        <v>33</v>
      </c>
      <c r="D2" s="7" t="s">
        <v>34</v>
      </c>
      <c r="E2" s="7" t="s">
        <v>35</v>
      </c>
      <c r="F2" s="7" t="s">
        <v>36</v>
      </c>
    </row>
    <row r="3" spans="1:6">
      <c r="A3" s="13" t="s">
        <v>37</v>
      </c>
      <c r="B3" s="13" t="s">
        <v>38</v>
      </c>
      <c r="C3" s="14">
        <v>3242</v>
      </c>
      <c r="D3" s="9">
        <v>580000</v>
      </c>
      <c r="E3" s="13" t="s">
        <v>39</v>
      </c>
      <c r="F3" s="13" t="s">
        <v>40</v>
      </c>
    </row>
    <row r="4" spans="1:6">
      <c r="A4" s="13" t="s">
        <v>41</v>
      </c>
      <c r="B4" s="13" t="s">
        <v>42</v>
      </c>
      <c r="C4" s="14">
        <v>3535</v>
      </c>
      <c r="D4" s="9">
        <v>1800000</v>
      </c>
      <c r="E4" s="13" t="s">
        <v>43</v>
      </c>
      <c r="F4" s="13" t="s">
        <v>44</v>
      </c>
    </row>
    <row r="5" spans="1:6">
      <c r="A5" s="13" t="s">
        <v>45</v>
      </c>
      <c r="B5" s="13" t="s">
        <v>46</v>
      </c>
      <c r="C5" s="14">
        <v>5343</v>
      </c>
      <c r="D5" s="9">
        <v>400000</v>
      </c>
      <c r="E5" s="13" t="s">
        <v>39</v>
      </c>
      <c r="F5" s="13" t="s">
        <v>47</v>
      </c>
    </row>
    <row r="6" spans="1:6">
      <c r="A6" s="13" t="s">
        <v>45</v>
      </c>
      <c r="B6" s="13" t="s">
        <v>38</v>
      </c>
      <c r="C6" s="14">
        <v>1424</v>
      </c>
      <c r="D6" s="9">
        <v>400000</v>
      </c>
      <c r="E6" s="13" t="s">
        <v>39</v>
      </c>
      <c r="F6" s="13" t="s">
        <v>48</v>
      </c>
    </row>
    <row r="7" spans="1:6">
      <c r="A7" s="13" t="s">
        <v>41</v>
      </c>
      <c r="B7" s="13" t="s">
        <v>49</v>
      </c>
      <c r="C7" s="14">
        <v>1323</v>
      </c>
      <c r="D7" s="9">
        <v>1800000</v>
      </c>
      <c r="E7" s="13" t="s">
        <v>39</v>
      </c>
      <c r="F7" s="13" t="s">
        <v>48</v>
      </c>
    </row>
    <row r="8" spans="1:6">
      <c r="A8" s="13" t="s">
        <v>45</v>
      </c>
      <c r="B8" s="13" t="s">
        <v>50</v>
      </c>
      <c r="C8" s="14">
        <v>1536</v>
      </c>
      <c r="D8" s="9">
        <v>400000</v>
      </c>
      <c r="E8" s="13" t="s">
        <v>43</v>
      </c>
      <c r="F8" s="13" t="s">
        <v>48</v>
      </c>
    </row>
    <row r="9" spans="1:6">
      <c r="A9" s="13" t="s">
        <v>45</v>
      </c>
      <c r="B9" s="13" t="s">
        <v>51</v>
      </c>
      <c r="C9" s="14">
        <v>4643</v>
      </c>
      <c r="D9" s="9">
        <v>400000</v>
      </c>
      <c r="E9" s="13" t="s">
        <v>39</v>
      </c>
      <c r="F9" s="13" t="s">
        <v>47</v>
      </c>
    </row>
    <row r="10" spans="1:6">
      <c r="A10" s="13" t="s">
        <v>37</v>
      </c>
      <c r="B10" s="13" t="s">
        <v>42</v>
      </c>
      <c r="C10" s="14">
        <v>1232</v>
      </c>
      <c r="D10" s="9">
        <v>580000</v>
      </c>
      <c r="E10" s="13" t="s">
        <v>43</v>
      </c>
      <c r="F10" s="13" t="s">
        <v>47</v>
      </c>
    </row>
    <row r="11" spans="1:6">
      <c r="A11" s="13" t="s">
        <v>41</v>
      </c>
      <c r="B11" s="13" t="s">
        <v>52</v>
      </c>
      <c r="C11" s="14">
        <v>4643</v>
      </c>
      <c r="D11" s="9">
        <v>1800000</v>
      </c>
      <c r="E11" s="13" t="s">
        <v>39</v>
      </c>
      <c r="F11" s="13" t="s">
        <v>48</v>
      </c>
    </row>
    <row r="12" spans="1:6">
      <c r="A12" s="13" t="s">
        <v>45</v>
      </c>
      <c r="B12" s="13" t="s">
        <v>52</v>
      </c>
      <c r="C12" s="14">
        <v>1323</v>
      </c>
      <c r="D12" s="9">
        <v>400000</v>
      </c>
      <c r="E12" s="13" t="s">
        <v>39</v>
      </c>
      <c r="F12" s="13" t="s">
        <v>40</v>
      </c>
    </row>
    <row r="15" spans="1:6">
      <c r="A15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I36"/>
  <sheetViews>
    <sheetView tabSelected="1" topLeftCell="A4" zoomScale="145" zoomScaleNormal="145" workbookViewId="0">
      <selection activeCell="A14" sqref="A14"/>
    </sheetView>
  </sheetViews>
  <sheetFormatPr baseColWidth="10" defaultColWidth="8.83203125" defaultRowHeight="17"/>
  <cols>
    <col min="1" max="1" width="12" style="37" customWidth="1"/>
    <col min="2" max="2" width="15.83203125" style="37" customWidth="1"/>
    <col min="3" max="3" width="14.83203125" style="37" customWidth="1"/>
    <col min="4" max="4" width="11.1640625" style="37" customWidth="1"/>
    <col min="7" max="7" width="10.33203125" style="37" customWidth="1"/>
    <col min="8" max="8" width="12.1640625" style="37" bestFit="1" customWidth="1"/>
    <col min="9" max="9" width="13.33203125" style="37" bestFit="1" customWidth="1"/>
  </cols>
  <sheetData>
    <row r="1" spans="1:9">
      <c r="A1" s="17" t="s">
        <v>53</v>
      </c>
      <c r="B1" s="18"/>
      <c r="C1" s="18"/>
      <c r="D1" s="18"/>
      <c r="F1" t="s">
        <v>54</v>
      </c>
    </row>
    <row r="2" spans="1:9">
      <c r="A2" s="19" t="s">
        <v>55</v>
      </c>
      <c r="B2" s="19" t="s">
        <v>56</v>
      </c>
      <c r="C2" s="19" t="s">
        <v>57</v>
      </c>
      <c r="D2" s="19" t="s">
        <v>58</v>
      </c>
      <c r="F2" s="19" t="s">
        <v>59</v>
      </c>
      <c r="G2" s="19" t="s">
        <v>60</v>
      </c>
      <c r="H2" s="19" t="s">
        <v>61</v>
      </c>
      <c r="I2" s="19" t="s">
        <v>62</v>
      </c>
    </row>
    <row r="3" spans="1:9">
      <c r="A3" s="19" t="s">
        <v>63</v>
      </c>
      <c r="B3" s="21">
        <v>25100000</v>
      </c>
      <c r="C3" s="20" t="s">
        <v>64</v>
      </c>
      <c r="D3" s="19" t="s">
        <v>65</v>
      </c>
      <c r="F3" s="13" t="s">
        <v>66</v>
      </c>
      <c r="G3" s="13" t="s">
        <v>67</v>
      </c>
      <c r="H3" s="14">
        <v>2590000</v>
      </c>
      <c r="I3" s="14">
        <v>33670000</v>
      </c>
    </row>
    <row r="4" spans="1:9">
      <c r="A4" s="19" t="s">
        <v>68</v>
      </c>
      <c r="B4" s="21">
        <v>21060000</v>
      </c>
      <c r="C4" s="20" t="s">
        <v>69</v>
      </c>
      <c r="D4" s="19" t="s">
        <v>70</v>
      </c>
      <c r="F4" s="13" t="s">
        <v>71</v>
      </c>
      <c r="G4" s="13" t="s">
        <v>72</v>
      </c>
      <c r="H4" s="14">
        <v>3500000</v>
      </c>
      <c r="I4" s="14">
        <v>45500000</v>
      </c>
    </row>
    <row r="5" spans="1:9">
      <c r="A5" s="19" t="s">
        <v>63</v>
      </c>
      <c r="B5" s="21">
        <v>36670000</v>
      </c>
      <c r="C5" s="20" t="s">
        <v>64</v>
      </c>
      <c r="D5" s="19" t="s">
        <v>65</v>
      </c>
      <c r="F5" s="13" t="s">
        <v>73</v>
      </c>
      <c r="G5" s="13" t="s">
        <v>74</v>
      </c>
      <c r="H5" s="14">
        <v>2650000</v>
      </c>
      <c r="I5" s="14">
        <v>34450000</v>
      </c>
    </row>
    <row r="6" spans="1:9">
      <c r="A6" s="19" t="s">
        <v>63</v>
      </c>
      <c r="B6" s="21">
        <v>31690000</v>
      </c>
      <c r="C6" s="20" t="s">
        <v>69</v>
      </c>
      <c r="D6" s="19" t="s">
        <v>70</v>
      </c>
      <c r="F6" s="13" t="s">
        <v>75</v>
      </c>
      <c r="G6" s="13" t="s">
        <v>76</v>
      </c>
      <c r="H6" s="14">
        <v>1980000</v>
      </c>
      <c r="I6" s="14">
        <v>25740000</v>
      </c>
    </row>
    <row r="7" spans="1:9">
      <c r="A7" s="19" t="s">
        <v>68</v>
      </c>
      <c r="B7" s="21">
        <v>16660000</v>
      </c>
      <c r="C7" s="20" t="s">
        <v>69</v>
      </c>
      <c r="D7" s="19" t="s">
        <v>77</v>
      </c>
      <c r="F7" s="13" t="s">
        <v>78</v>
      </c>
      <c r="G7" s="13" t="s">
        <v>79</v>
      </c>
      <c r="H7" s="14">
        <v>4560000</v>
      </c>
      <c r="I7" s="14">
        <v>59280000</v>
      </c>
    </row>
    <row r="8" spans="1:9">
      <c r="A8" s="19" t="s">
        <v>80</v>
      </c>
      <c r="B8" s="21">
        <v>16780000</v>
      </c>
      <c r="C8" s="20" t="s">
        <v>64</v>
      </c>
      <c r="D8" s="19" t="s">
        <v>77</v>
      </c>
      <c r="F8" s="13" t="s">
        <v>81</v>
      </c>
      <c r="G8" s="13" t="s">
        <v>67</v>
      </c>
      <c r="H8" s="14">
        <v>2590000</v>
      </c>
      <c r="I8" s="14">
        <v>33670000</v>
      </c>
    </row>
    <row r="9" spans="1:9">
      <c r="A9" s="19" t="s">
        <v>80</v>
      </c>
      <c r="B9" s="21">
        <v>17830000</v>
      </c>
      <c r="C9" s="19" t="s">
        <v>69</v>
      </c>
      <c r="D9" s="19" t="s">
        <v>70</v>
      </c>
    </row>
    <row r="10" spans="1:9">
      <c r="A10" s="19" t="s">
        <v>68</v>
      </c>
      <c r="B10" s="21">
        <v>17140000</v>
      </c>
      <c r="C10" s="19" t="s">
        <v>69</v>
      </c>
      <c r="D10" s="19" t="s">
        <v>82</v>
      </c>
    </row>
    <row r="11" spans="1:9">
      <c r="A11" s="18"/>
      <c r="B11" s="18"/>
      <c r="D11" s="18"/>
      <c r="F11" s="18"/>
    </row>
    <row r="12" spans="1:9">
      <c r="A12" s="19" t="s">
        <v>211</v>
      </c>
      <c r="B12" s="22" t="s">
        <v>83</v>
      </c>
      <c r="D12" s="18"/>
      <c r="F12" s="38" t="s">
        <v>84</v>
      </c>
      <c r="G12" s="39"/>
      <c r="H12" s="40"/>
      <c r="I12" s="44" t="str">
        <f>COUNTIFS(H3:H8,"&gt;3000000", I3:I8,"&gt;="&amp;AVERAGE(I3:I8))&amp;"명"</f>
        <v>2명</v>
      </c>
    </row>
    <row r="13" spans="1:9">
      <c r="A13" s="19" t="s">
        <v>212</v>
      </c>
      <c r="B13" s="21">
        <f>ROUNDDOWN(DAVERAGE(A2:D10,B2,A12:A13),-4)</f>
        <v>20870000</v>
      </c>
      <c r="D13" s="18"/>
      <c r="F13" s="41"/>
      <c r="G13" s="42"/>
      <c r="H13" s="43"/>
      <c r="I13" s="45"/>
    </row>
    <row r="15" spans="1:9">
      <c r="A15" t="s">
        <v>85</v>
      </c>
      <c r="F15" t="s">
        <v>86</v>
      </c>
    </row>
    <row r="16" spans="1:9">
      <c r="A16" s="7" t="s">
        <v>87</v>
      </c>
      <c r="B16" s="7" t="s">
        <v>59</v>
      </c>
      <c r="C16" s="7" t="s">
        <v>88</v>
      </c>
      <c r="D16" s="23" t="s">
        <v>3</v>
      </c>
      <c r="F16" s="7" t="s">
        <v>89</v>
      </c>
      <c r="G16" s="7" t="s">
        <v>90</v>
      </c>
      <c r="H16" s="7" t="s">
        <v>34</v>
      </c>
      <c r="I16" s="23" t="s">
        <v>8</v>
      </c>
    </row>
    <row r="17" spans="1:9">
      <c r="A17" s="7">
        <v>10210032</v>
      </c>
      <c r="B17" s="7" t="s">
        <v>91</v>
      </c>
      <c r="C17" s="7" t="s">
        <v>92</v>
      </c>
      <c r="D17" s="7"/>
      <c r="F17" s="7" t="s">
        <v>93</v>
      </c>
      <c r="G17" s="7" t="s">
        <v>94</v>
      </c>
      <c r="H17" s="24">
        <v>45000</v>
      </c>
      <c r="I17" s="7"/>
    </row>
    <row r="18" spans="1:9">
      <c r="A18" s="7">
        <v>20210033</v>
      </c>
      <c r="B18" s="7" t="s">
        <v>95</v>
      </c>
      <c r="C18" s="7" t="s">
        <v>92</v>
      </c>
      <c r="D18" s="7"/>
      <c r="F18" s="7" t="s">
        <v>96</v>
      </c>
      <c r="G18" s="7" t="s">
        <v>97</v>
      </c>
      <c r="H18" s="24">
        <v>35000</v>
      </c>
      <c r="I18" s="7"/>
    </row>
    <row r="19" spans="1:9">
      <c r="A19" s="7">
        <v>20210034</v>
      </c>
      <c r="B19" s="7" t="s">
        <v>98</v>
      </c>
      <c r="C19" s="7" t="s">
        <v>92</v>
      </c>
      <c r="D19" s="7"/>
      <c r="F19" s="7" t="s">
        <v>99</v>
      </c>
      <c r="G19" s="7" t="s">
        <v>100</v>
      </c>
      <c r="H19" s="24">
        <v>44000</v>
      </c>
      <c r="I19" s="7"/>
    </row>
    <row r="20" spans="1:9">
      <c r="A20" s="7">
        <v>30210035</v>
      </c>
      <c r="B20" s="7" t="s">
        <v>101</v>
      </c>
      <c r="C20" s="7" t="s">
        <v>92</v>
      </c>
      <c r="D20" s="7"/>
      <c r="F20" s="7" t="s">
        <v>102</v>
      </c>
      <c r="G20" s="7" t="s">
        <v>103</v>
      </c>
      <c r="H20" s="24">
        <v>49500</v>
      </c>
      <c r="I20" s="7"/>
    </row>
    <row r="21" spans="1:9">
      <c r="A21" s="7">
        <v>10210036</v>
      </c>
      <c r="B21" s="7" t="s">
        <v>104</v>
      </c>
      <c r="C21" s="7" t="s">
        <v>92</v>
      </c>
      <c r="D21" s="7"/>
      <c r="F21" s="7" t="s">
        <v>105</v>
      </c>
      <c r="G21" s="7" t="s">
        <v>106</v>
      </c>
      <c r="H21" s="24">
        <v>43700</v>
      </c>
      <c r="I21" s="7"/>
    </row>
    <row r="22" spans="1:9">
      <c r="A22" s="7">
        <v>20210037</v>
      </c>
      <c r="B22" s="7" t="s">
        <v>107</v>
      </c>
      <c r="C22" s="7" t="s">
        <v>108</v>
      </c>
      <c r="D22" s="7"/>
      <c r="F22" s="7" t="s">
        <v>109</v>
      </c>
      <c r="G22" s="7" t="s">
        <v>110</v>
      </c>
      <c r="H22" s="24">
        <v>47500</v>
      </c>
      <c r="I22" s="7"/>
    </row>
    <row r="23" spans="1:9">
      <c r="A23" s="7">
        <v>30210038</v>
      </c>
      <c r="B23" s="7" t="s">
        <v>111</v>
      </c>
      <c r="C23" s="7" t="s">
        <v>108</v>
      </c>
      <c r="D23" s="7"/>
      <c r="F23" s="7" t="s">
        <v>112</v>
      </c>
      <c r="G23" s="7" t="s">
        <v>113</v>
      </c>
      <c r="H23" s="24">
        <v>48700</v>
      </c>
      <c r="I23" s="7"/>
    </row>
    <row r="26" spans="1:9">
      <c r="A26" t="s">
        <v>114</v>
      </c>
    </row>
    <row r="27" spans="1:9">
      <c r="A27" s="7" t="s">
        <v>115</v>
      </c>
      <c r="B27" s="7" t="s">
        <v>59</v>
      </c>
      <c r="C27" s="7" t="s">
        <v>116</v>
      </c>
      <c r="D27" s="23" t="s">
        <v>90</v>
      </c>
    </row>
    <row r="28" spans="1:9">
      <c r="A28" s="7" t="s">
        <v>117</v>
      </c>
      <c r="B28" s="7" t="s">
        <v>118</v>
      </c>
      <c r="C28" s="7" t="s">
        <v>119</v>
      </c>
      <c r="D28" s="7"/>
    </row>
    <row r="29" spans="1:9">
      <c r="A29" s="7" t="s">
        <v>120</v>
      </c>
      <c r="B29" s="7" t="s">
        <v>121</v>
      </c>
      <c r="C29" s="7" t="s">
        <v>122</v>
      </c>
      <c r="D29" s="7"/>
    </row>
    <row r="30" spans="1:9">
      <c r="A30" s="7" t="s">
        <v>123</v>
      </c>
      <c r="B30" s="7" t="s">
        <v>124</v>
      </c>
      <c r="C30" s="7" t="s">
        <v>125</v>
      </c>
      <c r="D30" s="7"/>
    </row>
    <row r="31" spans="1:9">
      <c r="A31" s="7" t="s">
        <v>126</v>
      </c>
      <c r="B31" s="7" t="s">
        <v>127</v>
      </c>
      <c r="C31" s="7" t="s">
        <v>128</v>
      </c>
      <c r="D31" s="7"/>
    </row>
    <row r="32" spans="1:9">
      <c r="A32" s="7" t="s">
        <v>129</v>
      </c>
      <c r="B32" s="7" t="s">
        <v>130</v>
      </c>
      <c r="C32" s="7" t="s">
        <v>131</v>
      </c>
      <c r="D32" s="7"/>
    </row>
    <row r="33" spans="1:4">
      <c r="A33" s="7" t="s">
        <v>132</v>
      </c>
      <c r="B33" s="7" t="s">
        <v>133</v>
      </c>
      <c r="C33" s="7" t="s">
        <v>134</v>
      </c>
      <c r="D33" s="7"/>
    </row>
    <row r="34" spans="1:4" ht="18" customHeight="1" thickBot="1"/>
    <row r="35" spans="1:4">
      <c r="A35" s="25" t="s">
        <v>135</v>
      </c>
      <c r="B35" s="26" t="s">
        <v>136</v>
      </c>
      <c r="C35" s="15" t="s">
        <v>137</v>
      </c>
      <c r="D35" s="16" t="s">
        <v>138</v>
      </c>
    </row>
    <row r="36" spans="1:4" ht="18" customHeight="1" thickBot="1">
      <c r="A36" s="25" t="s">
        <v>139</v>
      </c>
      <c r="B36" s="10" t="s">
        <v>113</v>
      </c>
      <c r="C36" s="11" t="s">
        <v>110</v>
      </c>
      <c r="D36" s="12" t="s">
        <v>140</v>
      </c>
    </row>
  </sheetData>
  <mergeCells count="2">
    <mergeCell ref="F12:H13"/>
    <mergeCell ref="I12:I1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J9"/>
  <sheetViews>
    <sheetView zoomScale="250" zoomScaleNormal="250" workbookViewId="0">
      <selection activeCell="G10" sqref="G10"/>
    </sheetView>
  </sheetViews>
  <sheetFormatPr baseColWidth="10" defaultColWidth="8.83203125" defaultRowHeight="17"/>
  <cols>
    <col min="1" max="1" width="10.1640625" style="37" customWidth="1"/>
    <col min="2" max="3" width="10.6640625" style="37" bestFit="1" customWidth="1"/>
  </cols>
  <sheetData>
    <row r="1" spans="1:10">
      <c r="A1" t="s">
        <v>141</v>
      </c>
    </row>
    <row r="2" spans="1:10">
      <c r="J2" s="3"/>
    </row>
    <row r="3" spans="1:10">
      <c r="A3" s="7" t="s">
        <v>142</v>
      </c>
      <c r="B3" s="7" t="s">
        <v>143</v>
      </c>
      <c r="C3" s="7" t="s">
        <v>144</v>
      </c>
      <c r="D3" s="7" t="s">
        <v>145</v>
      </c>
    </row>
    <row r="4" spans="1:10">
      <c r="A4" s="7" t="s">
        <v>146</v>
      </c>
      <c r="B4" s="14">
        <v>401200</v>
      </c>
      <c r="C4" s="14">
        <f t="shared" ref="C4:C9" si="0">B4*D4/100</f>
        <v>141222.40000000002</v>
      </c>
      <c r="D4" s="13">
        <v>35.200000000000003</v>
      </c>
    </row>
    <row r="5" spans="1:10">
      <c r="A5" s="7" t="s">
        <v>147</v>
      </c>
      <c r="B5" s="14">
        <v>553000</v>
      </c>
      <c r="C5" s="14">
        <f t="shared" si="0"/>
        <v>325606.40000000002</v>
      </c>
      <c r="D5" s="13">
        <v>58.88</v>
      </c>
    </row>
    <row r="6" spans="1:10">
      <c r="A6" s="7" t="s">
        <v>148</v>
      </c>
      <c r="B6" s="14">
        <v>45400</v>
      </c>
      <c r="C6" s="14">
        <f t="shared" si="0"/>
        <v>10764.34</v>
      </c>
      <c r="D6" s="13">
        <v>23.71</v>
      </c>
    </row>
    <row r="7" spans="1:10">
      <c r="A7" s="7" t="s">
        <v>149</v>
      </c>
      <c r="B7" s="14">
        <v>211500</v>
      </c>
      <c r="C7" s="14">
        <f t="shared" si="0"/>
        <v>171040.05</v>
      </c>
      <c r="D7" s="13">
        <v>80.87</v>
      </c>
    </row>
    <row r="8" spans="1:10">
      <c r="A8" s="7" t="s">
        <v>150</v>
      </c>
      <c r="B8" s="14">
        <v>89000</v>
      </c>
      <c r="C8" s="14">
        <f t="shared" si="0"/>
        <v>69713.7</v>
      </c>
      <c r="D8" s="13">
        <v>78.33</v>
      </c>
    </row>
    <row r="9" spans="1:10">
      <c r="A9" s="7" t="s">
        <v>151</v>
      </c>
      <c r="B9" s="14">
        <f>SUM(B4:B8)</f>
        <v>1300100</v>
      </c>
      <c r="C9" s="14">
        <f t="shared" si="0"/>
        <v>1040080</v>
      </c>
      <c r="D9" s="27">
        <v>80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6"/>
  <sheetViews>
    <sheetView topLeftCell="A2" zoomScale="130" zoomScaleNormal="130" workbookViewId="0">
      <selection activeCell="H12" sqref="H12"/>
    </sheetView>
  </sheetViews>
  <sheetFormatPr baseColWidth="10" defaultColWidth="8.83203125" defaultRowHeight="17"/>
  <sheetData>
    <row r="1" spans="1:14">
      <c r="A1" t="s">
        <v>152</v>
      </c>
    </row>
    <row r="3" spans="1:14">
      <c r="A3" s="28" t="s">
        <v>153</v>
      </c>
      <c r="B3" s="28" t="s">
        <v>59</v>
      </c>
      <c r="C3" s="28" t="s">
        <v>154</v>
      </c>
      <c r="D3" s="28" t="s">
        <v>155</v>
      </c>
      <c r="E3" s="28" t="s">
        <v>156</v>
      </c>
      <c r="F3" s="28" t="s">
        <v>9</v>
      </c>
      <c r="N3" s="3"/>
    </row>
    <row r="4" spans="1:14">
      <c r="A4" s="7">
        <v>2015</v>
      </c>
      <c r="B4" s="7" t="s">
        <v>66</v>
      </c>
      <c r="C4" s="7">
        <v>32</v>
      </c>
      <c r="D4" s="29" t="s">
        <v>157</v>
      </c>
      <c r="E4" s="30" t="s">
        <v>158</v>
      </c>
      <c r="F4" s="7"/>
    </row>
    <row r="5" spans="1:14">
      <c r="A5" s="7">
        <v>2015</v>
      </c>
      <c r="B5" s="7" t="s">
        <v>159</v>
      </c>
      <c r="C5" s="7">
        <v>26</v>
      </c>
      <c r="D5" s="7" t="s">
        <v>160</v>
      </c>
      <c r="E5" s="7" t="s">
        <v>161</v>
      </c>
      <c r="F5" s="7"/>
    </row>
    <row r="6" spans="1:14">
      <c r="A6" s="7">
        <v>2016</v>
      </c>
      <c r="B6" s="7" t="s">
        <v>162</v>
      </c>
      <c r="C6" s="7">
        <v>26</v>
      </c>
      <c r="D6" s="7" t="s">
        <v>157</v>
      </c>
      <c r="E6" s="30" t="s">
        <v>158</v>
      </c>
      <c r="F6" s="7"/>
    </row>
    <row r="7" spans="1:14">
      <c r="A7" s="7">
        <v>2016</v>
      </c>
      <c r="B7" s="7" t="s">
        <v>163</v>
      </c>
      <c r="C7" s="7">
        <v>34</v>
      </c>
      <c r="D7" s="29" t="s">
        <v>157</v>
      </c>
      <c r="E7" s="30" t="s">
        <v>158</v>
      </c>
      <c r="F7" s="7"/>
    </row>
    <row r="8" spans="1:14">
      <c r="A8" s="7">
        <v>2015</v>
      </c>
      <c r="B8" s="7" t="s">
        <v>164</v>
      </c>
      <c r="C8" s="7">
        <v>43</v>
      </c>
      <c r="D8" s="29" t="s">
        <v>165</v>
      </c>
      <c r="E8" s="30" t="s">
        <v>158</v>
      </c>
      <c r="F8" s="7" t="s">
        <v>166</v>
      </c>
    </row>
    <row r="9" spans="1:14">
      <c r="A9" s="7">
        <v>2017</v>
      </c>
      <c r="B9" s="7" t="s">
        <v>167</v>
      </c>
      <c r="C9" s="7">
        <v>27</v>
      </c>
      <c r="D9" s="7" t="s">
        <v>168</v>
      </c>
      <c r="E9" s="7" t="s">
        <v>169</v>
      </c>
      <c r="F9" s="7"/>
    </row>
    <row r="10" spans="1:14">
      <c r="A10" s="7">
        <v>2017</v>
      </c>
      <c r="B10" s="7" t="s">
        <v>170</v>
      </c>
      <c r="C10" s="7">
        <v>26</v>
      </c>
      <c r="D10" s="7" t="s">
        <v>171</v>
      </c>
      <c r="E10" s="30" t="s">
        <v>158</v>
      </c>
      <c r="F10" s="7"/>
    </row>
    <row r="11" spans="1:14">
      <c r="A11" s="7">
        <v>2016</v>
      </c>
      <c r="B11" s="7" t="s">
        <v>172</v>
      </c>
      <c r="C11" s="7">
        <v>32</v>
      </c>
      <c r="D11" s="29" t="s">
        <v>173</v>
      </c>
      <c r="E11" s="32" t="s">
        <v>158</v>
      </c>
      <c r="F11" s="7" t="s">
        <v>174</v>
      </c>
    </row>
    <row r="12" spans="1:14">
      <c r="A12" s="7">
        <v>2016</v>
      </c>
      <c r="B12" s="7" t="s">
        <v>175</v>
      </c>
      <c r="C12" s="7">
        <v>30</v>
      </c>
      <c r="D12" s="29" t="s">
        <v>173</v>
      </c>
      <c r="E12" s="7" t="s">
        <v>169</v>
      </c>
      <c r="F12" s="7"/>
    </row>
    <row r="13" spans="1:14">
      <c r="A13" s="7">
        <v>2015</v>
      </c>
      <c r="B13" s="7" t="s">
        <v>176</v>
      </c>
      <c r="C13" s="7">
        <v>33</v>
      </c>
      <c r="D13" s="29" t="s">
        <v>157</v>
      </c>
      <c r="E13" s="7" t="s">
        <v>169</v>
      </c>
      <c r="F13" s="7"/>
    </row>
    <row r="14" spans="1:14">
      <c r="A14" s="7">
        <v>2016</v>
      </c>
      <c r="B14" s="7" t="s">
        <v>177</v>
      </c>
      <c r="C14" s="7">
        <v>28</v>
      </c>
      <c r="D14" s="7" t="s">
        <v>168</v>
      </c>
      <c r="E14" s="7" t="s">
        <v>169</v>
      </c>
      <c r="F14" s="7"/>
    </row>
    <row r="15" spans="1:14">
      <c r="A15" s="7">
        <v>2016</v>
      </c>
      <c r="B15" s="7" t="s">
        <v>130</v>
      </c>
      <c r="C15" s="7">
        <v>31</v>
      </c>
      <c r="D15" s="7" t="s">
        <v>178</v>
      </c>
      <c r="E15" s="7" t="s">
        <v>161</v>
      </c>
      <c r="F15" s="7"/>
    </row>
    <row r="16" spans="1:14">
      <c r="A16" s="7">
        <v>2017</v>
      </c>
      <c r="B16" s="7" t="s">
        <v>179</v>
      </c>
      <c r="C16" s="7">
        <v>41</v>
      </c>
      <c r="D16" s="31" t="s">
        <v>171</v>
      </c>
      <c r="E16" s="7" t="s">
        <v>161</v>
      </c>
      <c r="F16" s="7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F10"/>
  <sheetViews>
    <sheetView zoomScale="205" zoomScaleNormal="205" workbookViewId="0">
      <selection activeCell="H12" sqref="H12"/>
    </sheetView>
  </sheetViews>
  <sheetFormatPr baseColWidth="10" defaultColWidth="8.83203125" defaultRowHeight="17"/>
  <sheetData>
    <row r="1" spans="1:6">
      <c r="A1" t="s">
        <v>180</v>
      </c>
    </row>
    <row r="3" spans="1:6">
      <c r="A3" s="36" t="s">
        <v>181</v>
      </c>
      <c r="B3" s="36" t="s">
        <v>182</v>
      </c>
      <c r="C3" s="36" t="s">
        <v>183</v>
      </c>
      <c r="D3" s="36" t="s">
        <v>184</v>
      </c>
      <c r="E3" s="36" t="s">
        <v>185</v>
      </c>
      <c r="F3" s="36" t="s">
        <v>151</v>
      </c>
    </row>
    <row r="4" spans="1:6">
      <c r="A4" s="7" t="s">
        <v>186</v>
      </c>
      <c r="B4" s="7">
        <v>20</v>
      </c>
      <c r="C4" s="7">
        <v>25</v>
      </c>
      <c r="D4" s="7">
        <v>12</v>
      </c>
      <c r="E4" s="7">
        <v>15</v>
      </c>
      <c r="F4" s="7"/>
    </row>
    <row r="5" spans="1:6">
      <c r="A5" s="7" t="s">
        <v>104</v>
      </c>
      <c r="B5" s="7">
        <v>12</v>
      </c>
      <c r="C5" s="7">
        <v>8</v>
      </c>
      <c r="D5" s="7">
        <v>24</v>
      </c>
      <c r="E5" s="7">
        <v>22</v>
      </c>
      <c r="F5" s="7"/>
    </row>
    <row r="6" spans="1:6">
      <c r="A6" s="7" t="s">
        <v>187</v>
      </c>
      <c r="B6" s="7">
        <v>22</v>
      </c>
      <c r="C6" s="7">
        <v>26</v>
      </c>
      <c r="D6" s="7">
        <v>11</v>
      </c>
      <c r="E6" s="7">
        <v>17</v>
      </c>
      <c r="F6" s="7"/>
    </row>
    <row r="7" spans="1:6">
      <c r="A7" s="7" t="s">
        <v>188</v>
      </c>
      <c r="B7" s="7">
        <v>21</v>
      </c>
      <c r="C7" s="7">
        <v>21</v>
      </c>
      <c r="D7" s="7">
        <v>27</v>
      </c>
      <c r="E7" s="7">
        <v>15</v>
      </c>
      <c r="F7" s="7"/>
    </row>
    <row r="8" spans="1:6">
      <c r="A8" s="7" t="s">
        <v>189</v>
      </c>
      <c r="B8" s="7">
        <v>35</v>
      </c>
      <c r="C8" s="7">
        <v>12</v>
      </c>
      <c r="D8" s="7">
        <v>17</v>
      </c>
      <c r="E8" s="7">
        <v>18</v>
      </c>
      <c r="F8" s="7"/>
    </row>
    <row r="9" spans="1:6">
      <c r="A9" s="7" t="s">
        <v>190</v>
      </c>
      <c r="B9" s="7">
        <v>17</v>
      </c>
      <c r="C9" s="7">
        <v>24</v>
      </c>
      <c r="D9" s="7">
        <v>23</v>
      </c>
      <c r="E9" s="7">
        <v>11</v>
      </c>
      <c r="F9" s="7"/>
    </row>
    <row r="10" spans="1:6">
      <c r="A10" s="7" t="s">
        <v>191</v>
      </c>
      <c r="B10" s="7">
        <v>13</v>
      </c>
      <c r="C10" s="7">
        <v>12</v>
      </c>
      <c r="D10" s="7">
        <v>17</v>
      </c>
      <c r="E10" s="7">
        <v>23</v>
      </c>
      <c r="F10" s="7"/>
    </row>
  </sheetData>
  <phoneticPr fontId="1" type="noConversion"/>
  <pageMargins left="0.7" right="0.7" top="0.75" bottom="0.75" header="0.3" footer="0.3"/>
  <pageSetup paperSize="9" orientation="portrait" horizontalDpi="1200" verticalDpi="12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F9"/>
  <sheetViews>
    <sheetView zoomScale="160" zoomScaleNormal="160" workbookViewId="0">
      <selection activeCell="C9" sqref="C9"/>
    </sheetView>
  </sheetViews>
  <sheetFormatPr baseColWidth="10" defaultColWidth="8.83203125" defaultRowHeight="17"/>
  <cols>
    <col min="3" max="3" width="10.83203125" style="37" customWidth="1"/>
    <col min="4" max="4" width="11.6640625" style="37" bestFit="1" customWidth="1"/>
    <col min="5" max="5" width="11.6640625" style="37" customWidth="1"/>
    <col min="6" max="6" width="10.6640625" style="37" bestFit="1" customWidth="1"/>
  </cols>
  <sheetData>
    <row r="1" spans="1:6">
      <c r="A1" t="s">
        <v>192</v>
      </c>
    </row>
    <row r="3" spans="1:6">
      <c r="A3" s="7" t="s">
        <v>193</v>
      </c>
      <c r="B3" s="7" t="s">
        <v>194</v>
      </c>
      <c r="C3" s="7" t="s">
        <v>195</v>
      </c>
      <c r="D3" s="7" t="s">
        <v>196</v>
      </c>
      <c r="E3" s="7" t="s">
        <v>197</v>
      </c>
      <c r="F3" s="7" t="s">
        <v>198</v>
      </c>
    </row>
    <row r="4" spans="1:6">
      <c r="A4" s="13" t="s">
        <v>199</v>
      </c>
      <c r="B4" s="13" t="s">
        <v>200</v>
      </c>
      <c r="C4" s="8">
        <v>40198</v>
      </c>
      <c r="D4" s="14">
        <v>25000000</v>
      </c>
      <c r="E4" s="14">
        <v>22500000</v>
      </c>
      <c r="F4" s="14">
        <v>2500000</v>
      </c>
    </row>
    <row r="5" spans="1:6">
      <c r="A5" s="13" t="s">
        <v>201</v>
      </c>
      <c r="B5" s="13" t="s">
        <v>202</v>
      </c>
      <c r="C5" s="8">
        <v>40929</v>
      </c>
      <c r="D5" s="14">
        <v>23150000</v>
      </c>
      <c r="E5" s="14">
        <v>20835000</v>
      </c>
      <c r="F5" s="14">
        <v>2315000</v>
      </c>
    </row>
    <row r="6" spans="1:6">
      <c r="A6" s="13" t="s">
        <v>203</v>
      </c>
      <c r="B6" s="13" t="s">
        <v>204</v>
      </c>
      <c r="C6" s="8">
        <v>40695</v>
      </c>
      <c r="D6" s="14">
        <v>38700000</v>
      </c>
      <c r="E6" s="14">
        <v>34830000</v>
      </c>
      <c r="F6" s="14">
        <v>3870000</v>
      </c>
    </row>
    <row r="7" spans="1:6">
      <c r="A7" s="13" t="s">
        <v>205</v>
      </c>
      <c r="B7" s="13" t="s">
        <v>206</v>
      </c>
      <c r="C7" s="8">
        <v>40198</v>
      </c>
      <c r="D7" s="14">
        <v>43150000</v>
      </c>
      <c r="E7" s="14">
        <v>38835000</v>
      </c>
      <c r="F7" s="14">
        <v>4315000</v>
      </c>
    </row>
    <row r="8" spans="1:6">
      <c r="A8" s="13" t="s">
        <v>207</v>
      </c>
      <c r="B8" s="13" t="s">
        <v>208</v>
      </c>
      <c r="C8" s="8">
        <v>40391</v>
      </c>
      <c r="D8" s="14">
        <v>37000000</v>
      </c>
      <c r="E8" s="14">
        <v>33300000</v>
      </c>
      <c r="F8" s="14">
        <v>3700000</v>
      </c>
    </row>
    <row r="9" spans="1:6">
      <c r="A9" s="13" t="s">
        <v>209</v>
      </c>
      <c r="B9" s="13" t="s">
        <v>210</v>
      </c>
      <c r="C9" s="8">
        <v>40695</v>
      </c>
      <c r="D9" s="14">
        <v>31800000</v>
      </c>
      <c r="E9" s="14">
        <v>28620000</v>
      </c>
      <c r="F9" s="14">
        <v>3180000</v>
      </c>
    </row>
  </sheetData>
  <phoneticPr fontId="1" type="noConversion"/>
  <pageMargins left="0.7" right="0.7" top="0.75" bottom="0.75" header="0.3" footer="0.3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jiwoo</dc:creator>
  <cp:lastModifiedBy>지우 이</cp:lastModifiedBy>
  <dcterms:created xsi:type="dcterms:W3CDTF">2021-02-23T04:31:45Z</dcterms:created>
  <dcterms:modified xsi:type="dcterms:W3CDTF">2026-06-06T06:26:02Z</dcterms:modified>
</cp:coreProperties>
</file>